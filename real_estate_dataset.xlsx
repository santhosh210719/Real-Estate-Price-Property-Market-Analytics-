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hosh R\Downloads\"/>
    </mc:Choice>
  </mc:AlternateContent>
  <xr:revisionPtr revIDLastSave="0" documentId="13_ncr:1_{28F7CFAE-E357-476C-9193-4B8E89D9602F}" xr6:coauthVersionLast="47" xr6:coauthVersionMax="47" xr10:uidLastSave="{00000000-0000-0000-0000-000000000000}"/>
  <bookViews>
    <workbookView xWindow="-108" yWindow="-108" windowWidth="23256" windowHeight="14616" firstSheet="2" xr2:uid="{00000000-000D-0000-FFFF-FFFF00000000}"/>
  </bookViews>
  <sheets>
    <sheet name="Price property" sheetId="3" r:id="rId1"/>
    <sheet name="Property Type Analysis" sheetId="4" r:id="rId2"/>
    <sheet name="Real Estate Dashboard" sheetId="5" r:id="rId3"/>
    <sheet name="Property Segmentation" sheetId="6" r:id="rId4"/>
    <sheet name="PropertyData" sheetId="1" r:id="rId5"/>
    <sheet name="Price Analysis" sheetId="2" r:id="rId6"/>
  </sheet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G5" i="5"/>
  <c r="E5" i="5"/>
  <c r="A5" i="5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B6" i="2"/>
  <c r="B5" i="2"/>
  <c r="B4" i="2"/>
  <c r="B3" i="2"/>
  <c r="B2" i="2"/>
</calcChain>
</file>

<file path=xl/sharedStrings.xml><?xml version="1.0" encoding="utf-8"?>
<sst xmlns="http://schemas.openxmlformats.org/spreadsheetml/2006/main" count="7057" uniqueCount="1047">
  <si>
    <t>Property_ID</t>
  </si>
  <si>
    <t>Location</t>
  </si>
  <si>
    <t>Area_sqft</t>
  </si>
  <si>
    <t>Bedrooms</t>
  </si>
  <si>
    <t>Bathrooms</t>
  </si>
  <si>
    <t>Age</t>
  </si>
  <si>
    <t>Parking</t>
  </si>
  <si>
    <t>Gym</t>
  </si>
  <si>
    <t>Swimming_Pool</t>
  </si>
  <si>
    <t>Security</t>
  </si>
  <si>
    <t>Property_Type</t>
  </si>
  <si>
    <t>Floor</t>
  </si>
  <si>
    <t>Total_Floors</t>
  </si>
  <si>
    <t>Price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</si>
  <si>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</si>
  <si>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</si>
  <si>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</si>
  <si>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</si>
  <si>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</si>
  <si>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</si>
  <si>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</si>
  <si>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</si>
  <si>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</si>
  <si>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</si>
  <si>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</si>
  <si>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</si>
  <si>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</si>
  <si>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</si>
  <si>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</si>
  <si>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</si>
  <si>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</si>
  <si>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</si>
  <si>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</si>
  <si>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</si>
  <si>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</si>
  <si>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</si>
  <si>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</si>
  <si>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</si>
  <si>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</si>
  <si>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</si>
  <si>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</si>
  <si>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</si>
  <si>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</si>
  <si>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</si>
  <si>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</si>
  <si>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</si>
  <si>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</si>
  <si>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</si>
  <si>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</si>
  <si>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</si>
  <si>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</si>
  <si>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</si>
  <si>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</si>
  <si>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</si>
  <si>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</si>
  <si>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</si>
  <si>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</si>
  <si>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</si>
  <si>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</si>
  <si>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</si>
  <si>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</si>
  <si>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</si>
  <si>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</si>
  <si>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</si>
  <si>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</si>
  <si>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</si>
  <si>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</si>
  <si>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</si>
  <si>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</si>
  <si>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</si>
  <si>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</si>
  <si>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</si>
  <si>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</si>
  <si>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</si>
  <si>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</si>
  <si>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</si>
  <si>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</si>
  <si>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</si>
  <si>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</si>
  <si>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</si>
  <si>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</si>
  <si>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</si>
  <si>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</si>
  <si>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</si>
  <si>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</si>
  <si>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</si>
  <si>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</si>
  <si>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</si>
  <si>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</si>
  <si>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</si>
  <si>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</si>
  <si>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</si>
  <si>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</si>
  <si>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</si>
  <si>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</si>
  <si>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</si>
  <si>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</si>
  <si>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</si>
  <si>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</si>
  <si>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</si>
  <si>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</si>
  <si>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</si>
  <si>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</si>
  <si>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</si>
  <si>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</si>
  <si>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</si>
  <si>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</si>
  <si>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</si>
  <si>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</si>
  <si>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</si>
  <si>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</si>
  <si>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</si>
  <si>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</si>
  <si>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</si>
  <si>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</si>
  <si>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</si>
  <si>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</si>
  <si>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</si>
  <si>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</si>
  <si>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</si>
  <si>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</si>
  <si>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</si>
  <si>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</si>
  <si>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</si>
  <si>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</si>
  <si>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</si>
  <si>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</si>
  <si>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</si>
  <si>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</si>
  <si>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</si>
  <si>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</si>
  <si>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</si>
  <si>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</si>
  <si>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</si>
  <si>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</si>
  <si>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</si>
  <si>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</si>
  <si>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</si>
  <si>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</si>
  <si>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</si>
  <si>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</si>
  <si>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</si>
  <si>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</si>
  <si>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</si>
  <si>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</si>
  <si>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</si>
  <si>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</si>
  <si>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</si>
  <si>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</si>
  <si>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</si>
  <si>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</si>
  <si>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</si>
  <si>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</si>
  <si>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</si>
  <si>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</si>
  <si>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</si>
  <si>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</si>
  <si>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</si>
  <si>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</si>
  <si>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</si>
  <si>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</si>
  <si>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</si>
  <si>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</si>
  <si>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</si>
  <si>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</si>
  <si>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</si>
  <si>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</si>
  <si>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</si>
  <si>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</si>
  <si>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</si>
  <si>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</si>
  <si>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</si>
  <si>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</si>
  <si>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</si>
  <si>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</si>
  <si>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</si>
  <si>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</si>
  <si>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</si>
  <si>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</si>
  <si>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</si>
  <si>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</si>
  <si>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</si>
  <si>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</si>
  <si>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</si>
  <si>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</si>
  <si>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</si>
  <si>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</si>
  <si>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</si>
  <si>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</si>
  <si>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</si>
  <si>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</si>
  <si>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</si>
  <si>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</si>
  <si>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</si>
  <si>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</si>
  <si>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</si>
  <si>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</si>
  <si>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</si>
  <si>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</si>
  <si>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</si>
  <si>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</si>
  <si>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</si>
  <si>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</si>
  <si>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</si>
  <si>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</si>
  <si>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</si>
  <si>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</si>
  <si>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</si>
  <si>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</si>
  <si>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</si>
  <si>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</si>
  <si>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</si>
  <si>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</si>
  <si>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</si>
  <si>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</si>
  <si>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</si>
  <si>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</si>
  <si>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</si>
  <si>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</si>
  <si>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</si>
  <si>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</si>
  <si>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</si>
  <si>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</si>
  <si>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</si>
  <si>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</si>
  <si>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</si>
  <si>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</si>
  <si>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</si>
  <si>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</si>
  <si>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</si>
  <si>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</si>
  <si>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</si>
  <si>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</si>
  <si>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</si>
  <si>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</si>
  <si>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</si>
  <si>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</si>
  <si>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</si>
  <si>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</si>
  <si>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</si>
  <si>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</si>
  <si>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</si>
  <si>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</si>
  <si>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</si>
  <si>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</si>
  <si>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</si>
  <si>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</si>
  <si>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</si>
  <si>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</si>
  <si>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</si>
  <si>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</si>
  <si>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</si>
  <si>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</si>
  <si>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</si>
  <si>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</si>
  <si>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</si>
  <si>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</si>
  <si>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</si>
  <si>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</si>
  <si>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</si>
  <si>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</si>
  <si>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</si>
  <si>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</si>
  <si>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</si>
  <si>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</si>
  <si>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</si>
  <si>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</si>
  <si>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</si>
  <si>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</si>
  <si>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</si>
  <si>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</si>
  <si>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</si>
  <si>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</si>
  <si>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</si>
  <si>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</si>
  <si>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</si>
  <si>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</si>
  <si>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</si>
  <si>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</si>
  <si>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</si>
  <si>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</si>
  <si>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</si>
  <si>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</si>
  <si>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</si>
  <si>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</si>
  <si>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</si>
  <si>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</si>
  <si>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</si>
  <si>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</si>
  <si>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</si>
  <si>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</si>
  <si>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</si>
  <si>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</si>
  <si>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</si>
  <si>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</si>
  <si>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</si>
  <si>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</si>
  <si>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</si>
  <si>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</si>
  <si>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</si>
  <si>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</si>
  <si>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</si>
  <si>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</si>
  <si>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</si>
  <si>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</si>
  <si>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</si>
  <si>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</si>
  <si>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</si>
  <si>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</si>
  <si>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</si>
  <si>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</si>
  <si>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</si>
  <si>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</si>
  <si>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</si>
  <si>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</si>
  <si>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</si>
  <si>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</si>
  <si>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</si>
  <si>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</si>
  <si>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</si>
  <si>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</si>
  <si>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</si>
  <si>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</si>
  <si>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</si>
  <si>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</si>
  <si>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</si>
  <si>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</si>
  <si>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</si>
  <si>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</si>
  <si>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</si>
  <si>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</si>
  <si>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</si>
  <si>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</si>
  <si>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</si>
  <si>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</si>
  <si>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</si>
  <si>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</si>
  <si>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</si>
  <si>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</si>
  <si>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</si>
  <si>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</si>
  <si>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</si>
  <si>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</si>
  <si>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</si>
  <si>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</si>
  <si>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</si>
  <si>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</si>
  <si>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</si>
  <si>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</si>
  <si>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</si>
  <si>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</si>
  <si>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</si>
  <si>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</si>
  <si>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</si>
  <si>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</si>
  <si>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</si>
  <si>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</si>
  <si>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</si>
  <si>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</si>
  <si>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</si>
  <si>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</si>
  <si>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</si>
  <si>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</si>
  <si>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</si>
  <si>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</si>
  <si>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</si>
  <si>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</si>
  <si>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</si>
  <si>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</si>
  <si>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</si>
  <si>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</si>
  <si>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</si>
  <si>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</si>
  <si>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</si>
  <si>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</si>
  <si>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</si>
  <si>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</si>
  <si>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</si>
  <si>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</si>
  <si>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</si>
  <si>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</si>
  <si>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</si>
  <si>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</si>
  <si>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</si>
  <si>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</si>
  <si>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</si>
  <si>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</si>
  <si>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</si>
  <si>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</si>
  <si>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</si>
  <si>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</si>
  <si>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</si>
  <si>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</si>
  <si>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</si>
  <si>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</si>
  <si>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</si>
  <si>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</si>
  <si>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</si>
  <si>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</si>
  <si>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</si>
  <si>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</si>
  <si>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</si>
  <si>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</si>
  <si>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</si>
  <si>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</si>
  <si>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</si>
  <si>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</si>
  <si>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</si>
  <si>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</si>
  <si>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</si>
  <si>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</si>
  <si>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</si>
  <si>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</si>
  <si>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</si>
  <si>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</si>
  <si>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</si>
  <si>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</si>
  <si>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</si>
  <si>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</si>
  <si>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</si>
  <si>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</si>
  <si>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</si>
  <si>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</si>
  <si>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</si>
  <si>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</si>
  <si>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</si>
  <si>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</si>
  <si>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</si>
  <si>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</si>
  <si>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</si>
  <si>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</si>
  <si>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</si>
  <si>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</si>
  <si>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</si>
  <si>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</si>
  <si>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</si>
  <si>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</si>
  <si>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</si>
  <si>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</si>
  <si>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</si>
  <si>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</si>
  <si>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</si>
  <si>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</si>
  <si>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</si>
  <si>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</si>
  <si>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</si>
  <si>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</si>
  <si>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</si>
  <si>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</si>
  <si>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</si>
  <si>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</si>
  <si>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</si>
  <si>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</si>
  <si>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</si>
  <si>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</si>
  <si>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</si>
  <si>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</si>
  <si>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</si>
  <si>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</si>
  <si>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</si>
  <si>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</si>
  <si>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</si>
  <si>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</si>
  <si>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</si>
  <si>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</si>
  <si>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</si>
  <si>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</si>
  <si>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</si>
  <si>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</si>
  <si>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</si>
  <si>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</si>
  <si>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</si>
  <si>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</si>
  <si>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</si>
  <si>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</si>
  <si>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</si>
  <si>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</si>
  <si>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</si>
  <si>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</si>
  <si>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</si>
  <si>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</si>
  <si>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</si>
  <si>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</si>
  <si>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</si>
  <si>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</si>
  <si>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</si>
  <si>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</si>
  <si>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</si>
  <si>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</si>
  <si>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</si>
  <si>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</si>
  <si>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</si>
  <si>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</si>
  <si>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</si>
  <si>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</si>
  <si>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</si>
  <si>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</si>
  <si>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</si>
  <si>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</si>
  <si>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</si>
  <si>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</si>
  <si>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</si>
  <si>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</si>
  <si>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</si>
  <si>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</si>
  <si>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</si>
  <si>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</si>
  <si>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</si>
  <si>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</si>
  <si>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</si>
  <si>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</si>
  <si>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</si>
  <si>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</si>
  <si>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</si>
  <si>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</si>
  <si>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</si>
  <si>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</si>
  <si>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</si>
  <si>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</si>
  <si>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</si>
  <si>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</si>
  <si>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</si>
  <si>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</si>
  <si>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</si>
  <si>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</si>
  <si>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</si>
  <si>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</si>
  <si>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</si>
  <si>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</si>
  <si>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</si>
  <si>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</si>
  <si>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</si>
  <si>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</si>
  <si>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</si>
  <si>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</si>
  <si>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</si>
  <si>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</si>
  <si>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</si>
  <si>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</si>
  <si>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</si>
  <si>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</si>
  <si>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</si>
  <si>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</si>
  <si>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</si>
  <si>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</si>
  <si>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</si>
  <si>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</si>
  <si>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</si>
  <si>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</si>
  <si>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</si>
  <si>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</si>
  <si>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</si>
  <si>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</si>
  <si>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</si>
  <si>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</si>
  <si>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</si>
  <si>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</si>
  <si>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</si>
  <si>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</si>
  <si>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</si>
  <si>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</si>
  <si>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</si>
  <si>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</si>
  <si>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</si>
  <si>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</si>
  <si>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</si>
  <si>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</si>
  <si>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</si>
  <si>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</si>
  <si>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</si>
  <si>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</si>
  <si>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</si>
  <si>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</si>
  <si>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</si>
  <si>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</si>
  <si>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</si>
  <si>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</si>
  <si>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</si>
  <si>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</si>
  <si>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</si>
  <si>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</si>
  <si>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</si>
  <si>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</si>
  <si>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</si>
  <si>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</si>
  <si>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</si>
  <si>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</si>
  <si>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</si>
  <si>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</si>
  <si>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</si>
  <si>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</si>
  <si>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</si>
  <si>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</si>
  <si>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</si>
  <si>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</si>
  <si>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</si>
  <si>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</si>
  <si>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</si>
  <si>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</si>
  <si>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</si>
  <si>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</si>
  <si>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</si>
  <si>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</si>
  <si>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</si>
  <si>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</si>
  <si>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</si>
  <si>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</si>
  <si>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</si>
  <si>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</si>
  <si>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</si>
  <si>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</si>
  <si>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</si>
  <si>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</si>
  <si>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</si>
  <si>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</si>
  <si>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</si>
  <si>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</si>
  <si>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</si>
  <si>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</si>
  <si>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</si>
  <si>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</si>
  <si>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</si>
  <si>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</si>
  <si>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</si>
  <si>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</si>
  <si>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</si>
  <si>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</si>
  <si>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</si>
  <si>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</si>
  <si>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</si>
  <si>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</si>
  <si>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</si>
  <si>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</si>
  <si>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</si>
  <si>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</si>
  <si>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</si>
  <si>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</si>
  <si>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</si>
  <si>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</si>
  <si>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</si>
  <si>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</si>
  <si>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</si>
  <si>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</si>
  <si>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</si>
  <si>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</si>
  <si>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</si>
  <si>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</si>
  <si>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</si>
  <si>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</si>
  <si>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</si>
  <si>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</si>
  <si>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</si>
  <si>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</si>
  <si>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</si>
  <si>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</si>
  <si>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</si>
  <si>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</si>
  <si>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</si>
  <si>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</si>
  <si>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</si>
  <si>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</si>
  <si>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</si>
  <si>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</si>
  <si>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</si>
  <si>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</si>
  <si>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</si>
  <si>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</si>
  <si>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</si>
  <si>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</si>
  <si>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</si>
  <si>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</si>
  <si>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</si>
  <si>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</si>
  <si>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</si>
  <si>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</si>
  <si>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</si>
  <si>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</si>
  <si>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</si>
  <si>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</si>
  <si>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</si>
  <si>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</si>
  <si>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</si>
  <si>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</si>
  <si>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</si>
  <si>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</si>
  <si>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</si>
  <si>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</si>
  <si>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</si>
  <si>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</si>
  <si>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</si>
  <si>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</si>
  <si>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</si>
  <si>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</si>
  <si>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</si>
  <si>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</si>
  <si>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</si>
  <si>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</si>
  <si>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</si>
  <si>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</si>
  <si>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</si>
  <si>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</si>
  <si>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</si>
  <si>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</si>
  <si>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</si>
  <si>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</si>
  <si>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</si>
  <si>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</si>
  <si>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</si>
  <si>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</si>
  <si>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</si>
  <si>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</si>
  <si>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</si>
  <si>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</si>
  <si>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</si>
  <si>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</si>
  <si>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</si>
  <si>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</si>
  <si>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</si>
  <si>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</si>
  <si>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</si>
  <si>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</si>
  <si>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</si>
  <si>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</si>
  <si>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</si>
  <si>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</si>
  <si>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</si>
  <si>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</si>
  <si>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</si>
  <si>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</si>
  <si>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</si>
  <si>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</si>
  <si>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</si>
  <si>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</si>
  <si>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</si>
  <si>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</si>
  <si>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</si>
  <si>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</si>
  <si>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</si>
  <si>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</si>
  <si>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</si>
  <si>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</si>
  <si>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</si>
  <si>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</si>
  <si>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</si>
  <si>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</si>
  <si>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</si>
  <si>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</si>
  <si>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</si>
  <si>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</si>
  <si>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</si>
  <si>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</si>
  <si>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</si>
  <si>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</si>
  <si>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</si>
  <si>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</si>
  <si>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</si>
  <si>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</si>
  <si>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</si>
  <si>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</si>
  <si>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</si>
  <si>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</si>
  <si>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</si>
  <si>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</si>
  <si>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</si>
  <si>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</si>
  <si>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</si>
  <si>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</si>
  <si>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</si>
  <si>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</si>
  <si>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</si>
  <si>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</si>
  <si>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</si>
  <si>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</si>
  <si>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</si>
  <si>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</si>
  <si>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</si>
  <si>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</si>
  <si>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</si>
  <si>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</si>
  <si>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</si>
  <si>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</si>
  <si>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</si>
  <si>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</si>
  <si>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</si>
  <si>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</si>
  <si>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</si>
  <si>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</si>
  <si>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</si>
  <si>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</si>
  <si>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</si>
  <si>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</si>
  <si>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</si>
  <si>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</si>
  <si>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</si>
  <si>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</si>
  <si>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</si>
  <si>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</si>
  <si>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</si>
  <si>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</si>
  <si>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</si>
  <si>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</si>
  <si>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</si>
  <si>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</si>
  <si>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</si>
  <si>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</si>
  <si>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</si>
  <si>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</si>
  <si>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</si>
  <si>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</si>
  <si>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</si>
  <si>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</si>
  <si>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</si>
  <si>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</si>
  <si>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</si>
  <si>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</si>
  <si>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</si>
  <si>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</si>
  <si>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</si>
  <si>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</si>
  <si>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</si>
  <si>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</si>
  <si>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</si>
  <si>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</si>
  <si>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</si>
  <si>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</si>
  <si>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</si>
  <si>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</si>
  <si>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</si>
  <si>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</si>
  <si>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</si>
  <si>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</si>
  <si>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</si>
  <si>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</si>
  <si>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</si>
  <si>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</si>
  <si>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</si>
  <si>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</si>
  <si>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</si>
  <si>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</si>
  <si>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</si>
  <si>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</si>
  <si>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</si>
  <si>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</si>
  <si>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</si>
  <si>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</si>
  <si>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</si>
  <si>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</si>
  <si>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</si>
  <si>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</si>
  <si>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</si>
  <si>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</si>
  <si>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</si>
  <si>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</si>
  <si>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</si>
  <si>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</si>
  <si>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</si>
  <si>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</si>
  <si>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</si>
  <si>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</si>
  <si>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</si>
  <si>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</si>
  <si>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</si>
  <si>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</si>
  <si>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</si>
  <si>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</si>
  <si>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</si>
  <si>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</si>
  <si>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</si>
  <si>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</si>
  <si>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</si>
  <si>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</si>
  <si>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</si>
  <si>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</si>
  <si>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</si>
  <si>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</si>
  <si>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</si>
  <si>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</si>
  <si>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</si>
  <si>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</si>
  <si>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</si>
  <si>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</si>
  <si>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</si>
  <si>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</si>
  <si>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</si>
  <si>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</si>
  <si>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</si>
  <si>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</si>
  <si>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</si>
  <si>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</si>
  <si>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</si>
  <si>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</si>
  <si>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</si>
  <si>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</si>
  <si>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</si>
  <si>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</si>
  <si>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</si>
  <si>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</si>
  <si>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</si>
  <si>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</si>
  <si>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</si>
  <si>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</si>
  <si>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</si>
  <si>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</si>
  <si>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</si>
  <si>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</si>
  <si>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</si>
  <si>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</si>
  <si>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</si>
  <si>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</si>
  <si>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</si>
  <si>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</si>
  <si>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</si>
  <si>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</si>
  <si>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</si>
  <si>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</si>
  <si>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</si>
  <si>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</si>
  <si>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</si>
  <si>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</si>
  <si>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</si>
  <si>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</si>
  <si>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</si>
  <si>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</si>
  <si>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</si>
  <si>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</si>
  <si>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</si>
  <si>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</si>
  <si>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</si>
  <si>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</si>
  <si>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</si>
  <si>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</si>
  <si>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</si>
  <si>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</si>
  <si>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</si>
  <si>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</si>
  <si>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</si>
  <si>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</si>
  <si>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</si>
  <si>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</si>
  <si>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</si>
  <si>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</si>
  <si>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</si>
  <si>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</si>
  <si>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</si>
  <si>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</si>
  <si>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</si>
  <si>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</si>
  <si>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</si>
  <si>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</si>
  <si>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</si>
  <si>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</si>
  <si>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</si>
  <si>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</si>
  <si>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</si>
  <si>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</si>
  <si>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</si>
  <si>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</si>
  <si>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</si>
  <si>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</si>
  <si>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</si>
  <si>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</si>
  <si>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</si>
  <si>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</si>
  <si>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</si>
  <si>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</si>
  <si>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</si>
  <si>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</si>
  <si>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</si>
  <si>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</si>
  <si>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</si>
  <si>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</si>
  <si>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</si>
  <si>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</si>
  <si>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</si>
  <si>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</si>
  <si>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</si>
  <si>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</si>
  <si>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</si>
  <si>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</si>
  <si>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</si>
  <si>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</si>
  <si>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</si>
  <si>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</si>
  <si>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</si>
  <si>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</si>
  <si>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</si>
  <si>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</si>
  <si>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</si>
  <si>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</si>
  <si>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</si>
  <si>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</si>
  <si>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</si>
  <si>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</si>
  <si>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</si>
  <si>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</si>
  <si>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</si>
  <si>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</si>
  <si>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</si>
  <si>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</si>
  <si>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</si>
  <si>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</si>
  <si>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</si>
  <si>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</si>
  <si>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</si>
  <si>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</si>
  <si>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</si>
  <si>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</si>
  <si>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</si>
  <si>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</si>
  <si>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</si>
  <si>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</si>
  <si>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</si>
  <si>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</si>
  <si>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</si>
  <si>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Pune</t>
  </si>
  <si>
    <t>Trichy</t>
  </si>
  <si>
    <t>Coimbatore</t>
  </si>
  <si>
    <t>Madurai</t>
  </si>
  <si>
    <t>Kochi</t>
  </si>
  <si>
    <t>Bangalore</t>
  </si>
  <si>
    <t>Chennai</t>
  </si>
  <si>
    <t>Hyderabad</t>
  </si>
  <si>
    <t>Yes</t>
  </si>
  <si>
    <t>No</t>
  </si>
  <si>
    <t>Independent House</t>
  </si>
  <si>
    <t>Apartment</t>
  </si>
  <si>
    <t>Villa</t>
  </si>
  <si>
    <t>Metrix</t>
  </si>
  <si>
    <t>Value</t>
  </si>
  <si>
    <t>Total Properties</t>
  </si>
  <si>
    <t>Average price</t>
  </si>
  <si>
    <t>Minimum Price</t>
  </si>
  <si>
    <t>Maximum Price</t>
  </si>
  <si>
    <t>Median price</t>
  </si>
  <si>
    <t>Price_per_sqft</t>
  </si>
  <si>
    <t>Price_Segment</t>
  </si>
  <si>
    <t>Row Labels</t>
  </si>
  <si>
    <t>Grand Total</t>
  </si>
  <si>
    <t>Average of Price</t>
  </si>
  <si>
    <t>Average of Price_per_sqft</t>
  </si>
  <si>
    <t>REAL ESTATE PRICE &amp; PROPERTY MARKET ANALYTICS</t>
  </si>
  <si>
    <t>Average Price</t>
  </si>
  <si>
    <t>Average Price/Sqft</t>
  </si>
  <si>
    <t>Budget</t>
  </si>
  <si>
    <t>Mid-Range</t>
  </si>
  <si>
    <t>Premium</t>
  </si>
  <si>
    <t>Count of Property_ID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</si>
</sst>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2" borderId="3" xfId="0" applyFill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44" fontId="0" fillId="0" borderId="0" xfId="0" applyNumberFormat="1"/>
    <xf numFmtId="0" fontId="3" fillId="0" borderId="0" xfId="0" applyFont="1" applyAlignment="1"/>
    <xf numFmtId="0" fontId="4" fillId="0" borderId="0" xfId="0" applyFont="1"/>
  </cellXfs>
  <cellStyles count="1">
    <cellStyle name="Normal" xfId="0" builtinId="0"/>
  </cellStyles>
  <dxfs count="11">
    <dxf>
      <numFmt numFmtId="164" formatCode="_ [$₹-4009]\ * #,##0.00_ ;_ [$₹-4009]\ * \-#,##0.00_ ;_ [$₹-4009]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[real_estate_dataset.xlsx]Price property!PivotTable1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400" b="0" i="0" u="none" strike="noStrike" cap="none" normalizeH="0" baseline="0"/>
              <a:t>Average Property Price by Location</a:t>
            </a:r>
            <a:endParaRPr lang="en-US" sz="1400"/>
          </a:p>
        </c:rich>
      </c:tx>
      <c:layout>
        <c:manualLayout>
          <c:xMode val="edge"/>
          <c:yMode val="edge"/>
          <c:x val="0.19803455818022747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property'!$B$3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'Price property'!$A$4:$A$12</c:f>
              <c:strCache>
                <c:ptCount val="8"/>
                <c:pt idx="0">
                  <c:v>Bangalore</c:v>
                </c:pt>
                <c:pt idx="1">
                  <c:v>Chennai</c:v>
                </c:pt>
                <c:pt idx="2">
                  <c:v>Pune</c:v>
                </c:pt>
                <c:pt idx="3">
                  <c:v>Hyderabad</c:v>
                </c:pt>
                <c:pt idx="4">
                  <c:v>Kochi</c:v>
                </c:pt>
                <c:pt idx="5">
                  <c:v>Coimbatore</c:v>
                </c:pt>
                <c:pt idx="6">
                  <c:v>Madurai</c:v>
                </c:pt>
                <c:pt idx="7">
                  <c:v>Trichy</c:v>
                </c:pt>
              </c:strCache>
            </c:strRef>
          </c:cat>
          <c:val>
            <c:numRef>
              <c:f>'Price property'!$B$4:$B$12</c:f>
              <c:numCache>
                <c:formatCode>_ [$₹-4009]\ * #,##0.00_ ;_ [$₹-4009]\ * \-#,##0.00_ ;_ [$₹-4009]\ * "-"??_ ;_ @_ </c:formatCode>
                <c:ptCount val="8"/>
                <c:pt idx="0">
                  <c:v>9833050.8474576268</c:v>
                </c:pt>
                <c:pt idx="1">
                  <c:v>9185271.317829458</c:v>
                </c:pt>
                <c:pt idx="2">
                  <c:v>9113380.2816901412</c:v>
                </c:pt>
                <c:pt idx="3">
                  <c:v>8073853.2110091746</c:v>
                </c:pt>
                <c:pt idx="4">
                  <c:v>6753488.3720930228</c:v>
                </c:pt>
                <c:pt idx="5">
                  <c:v>6216814.1592920357</c:v>
                </c:pt>
                <c:pt idx="6">
                  <c:v>5017307.692307692</c:v>
                </c:pt>
                <c:pt idx="7">
                  <c:v>4495384.615384615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3-421A-A90E-BBDEBB476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43904303"/>
        <c:axId val="1592476943"/>
      </c:barChart>
      <c:catAx>
        <c:axId val="184390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476943"/>
        <c:crosses val="autoZero"/>
        <c:auto val="1"/>
        <c:lblAlgn val="ctr"/>
        <c:lblOffset val="100"/>
        <c:noMultiLvlLbl val="0"/>
      </c:catAx>
      <c:valAx>
        <c:axId val="159247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0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[real_estate_dataset.xlsx]Property Type Analysis!PivotTable1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'Property Type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'Property Type Analysis'!$A$4:$A$7</c:f>
              <c:strCache>
                <c:ptCount val="3"/>
                <c:pt idx="0">
                  <c:v>Villa</c:v>
                </c:pt>
                <c:pt idx="1">
                  <c:v>Independent House</c:v>
                </c:pt>
                <c:pt idx="2">
                  <c:v>Apartment</c:v>
                </c:pt>
              </c:strCache>
            </c:strRef>
          </c:cat>
          <c:val>
            <c:numRef>
              <c:f>'Property Type Analysis'!$B$4:$B$7</c:f>
              <c:numCache>
                <c:formatCode>_("₹"* #,##0.00_);_("₹"* \(#,##0.00\);_("₹"* "-"??_);_(@_)</c:formatCode>
                <c:ptCount val="3"/>
                <c:pt idx="0">
                  <c:v>9421428.5714285709</c:v>
                </c:pt>
                <c:pt idx="1">
                  <c:v>7512132.3529411769</c:v>
                </c:pt>
                <c:pt idx="2">
                  <c:v>6868831.1688311687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E-4256-B48C-85592018DB9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53532320"/>
        <c:axId val="1646627664"/>
      </c:barChart>
      <c:catAx>
        <c:axId val="175353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627664"/>
        <c:crosses val="autoZero"/>
        <c:auto val="1"/>
        <c:lblAlgn val="ctr"/>
        <c:lblOffset val="100"/>
        <c:noMultiLvlLbl val="0"/>
      </c:catAx>
      <c:valAx>
        <c:axId val="16466276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crossAx val="17535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[real_estate_dataset.xlsx]Property Type Analysis!PivotTable3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'Property Type Analysis'!$B$22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'Property Type Analysis'!$A$23:$A$26</c:f>
              <c:strCache>
                <c:ptCount val="3"/>
                <c:pt idx="0">
                  <c:v>Villa</c:v>
                </c:pt>
                <c:pt idx="1">
                  <c:v>Independent House</c:v>
                </c:pt>
                <c:pt idx="2">
                  <c:v>Apartment</c:v>
                </c:pt>
              </c:strCache>
            </c:strRef>
          </c:cat>
          <c:val>
            <c:numRef>
              <c:f>'Property Type Analysis'!$B$23:$B$26</c:f>
              <c:numCache>
                <c:formatCode>_ [$₹-4009]\ * #,##0.00_ ;_ [$₹-4009]\ * \-#,##0.00_ ;_ [$₹-4009]\ * "-"??_ ;_ @_ </c:formatCode>
                <c:ptCount val="3"/>
                <c:pt idx="0">
                  <c:v>7231.8111655665225</c:v>
                </c:pt>
                <c:pt idx="1">
                  <c:v>5908.4836009694163</c:v>
                </c:pt>
                <c:pt idx="2">
                  <c:v>5289.8344821160226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D-4DF9-8378-E232A56CB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7515344"/>
        <c:axId val="1646629104"/>
      </c:barChart>
      <c:catAx>
        <c:axId val="1837515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629104"/>
        <c:crosses val="autoZero"/>
        <c:auto val="1"/>
        <c:lblAlgn val="ctr"/>
        <c:lblOffset val="100"/>
        <c:noMultiLvlLbl val="0"/>
      </c:catAx>
      <c:valAx>
        <c:axId val="1646629104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1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[real_estate_dataset.xlsx]Property Segmentation!PivotTable4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Property Price Segmentation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'Property Segmentation'!$B$3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334-4AE6-827F-447F03FF255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334-4AE6-827F-447F03FF255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334-4AE6-827F-447F03FF25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'Property Segmentation'!$A$4:$A$7</c:f>
              <c:strCache>
                <c:ptCount val="3"/>
                <c:pt idx="0">
                  <c:v>Budget</c:v>
                </c:pt>
                <c:pt idx="1">
                  <c:v>Mid-Range</c:v>
                </c:pt>
                <c:pt idx="2">
                  <c:v>Premium</c:v>
                </c:pt>
              </c:strCache>
            </c:strRef>
          </c:cat>
          <c:val>
            <c:numRef>
              <c:f>'Property Segmentation'!$B$4:$B$7</c:f>
              <c:numCache>
                <c:formatCode>General</c:formatCode>
                <c:ptCount val="3"/>
                <c:pt idx="0">
                  <c:v>257</c:v>
                </c:pt>
                <c:pt idx="1">
                  <c:v>552</c:v>
                </c:pt>
                <c:pt idx="2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34-4AE6-827F-447F03FF2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2</xdr:row>
      <xdr:rowOff>0</xdr:rowOff>
    </xdr:from>
    <xdr:to>
      <xdr:col>9</xdr:col>
      <xdr:colOff>579120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FC4DC-9F18-5545-D1A9-0422BE231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1</xdr:row>
      <xdr:rowOff>160020</xdr:rowOff>
    </xdr:from>
    <xdr:to>
      <xdr:col>10</xdr:col>
      <xdr:colOff>106680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C2F31D-5AA4-7048-A3D8-A1131EA86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403860</xdr:colOff>
      <xdr:row>18</xdr:row>
      <xdr:rowOff>121920</xdr:rowOff>
    </xdr:from>
    <xdr:to>
      <xdr:col>10</xdr:col>
      <xdr:colOff>99060</xdr:colOff>
      <xdr:row>33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F57019-AFBD-61BC-F476-3561AEA2D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975360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DB98D-6A0E-46D3-A8F1-4B85A92F0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hosh R" refreshedDate="46251.969587847219" createdVersion="8" refreshedVersion="8" minRefreshableVersion="3" recordCount="1000" xr:uid="{968CAA46-230F-487B-80DF-947C2AC55D71}">
  <cacheSource type="worksheet">
    <worksheetSource name="PropertyData"/>
  </cacheSource>
  <cacheFields count="16">
    <cacheField name="Property_ID" numFmtId="0">
      <sharedItems/>
    </cacheField>
    <cacheField name="Location" numFmtId="0">
      <sharedItems count="8">
        <s v="Pune"/>
        <s v="Trichy"/>
        <s v="Coimbatore"/>
        <s v="Madurai"/>
        <s v="Kochi"/>
        <s v="Bangalore"/>
        <s v="Chennai"/>
        <s v="Hyderabad"/>
      </sharedItems>
    </cacheField>
    <cacheField name="Area_sqft" numFmtId="0">
      <sharedItems containsSemiMixedTypes="0" containsString="0" containsNumber="1" containsInteger="1" minValue="450" maxValue="2427"/>
    </cacheField>
    <cacheField name="Bedrooms" numFmtId="0">
      <sharedItems containsString="0" containsBlank="1" containsNumber="1" containsInteger="1" minValue="1" maxValue="5"/>
    </cacheField>
    <cacheField name="Bathrooms" numFmtId="0">
      <sharedItems containsSemiMixedTypes="0" containsString="0" containsNumber="1" containsInteger="1" minValue="1" maxValue="5"/>
    </cacheField>
    <cacheField name="Age" numFmtId="0">
      <sharedItems containsSemiMixedTypes="0" containsString="0" containsNumber="1" containsInteger="1" minValue="0" maxValue="30"/>
    </cacheField>
    <cacheField name="Parking" numFmtId="0">
      <sharedItems/>
    </cacheField>
    <cacheField name="Gym" numFmtId="0">
      <sharedItems/>
    </cacheField>
    <cacheField name="Swimming_Pool" numFmtId="0">
      <sharedItems/>
    </cacheField>
    <cacheField name="Security" numFmtId="0">
      <sharedItems/>
    </cacheField>
    <cacheField name="Property_Type" numFmtId="0">
      <sharedItems count="3">
        <s v="Independent House"/>
        <s v="Apartment"/>
        <s v="Villa"/>
      </sharedItems>
    </cacheField>
    <cacheField name="Floor" numFmtId="0">
      <sharedItems containsSemiMixedTypes="0" containsString="0" containsNumber="1" containsInteger="1" minValue="1" maxValue="20"/>
    </cacheField>
    <cacheField name="Total_Floors" numFmtId="0">
      <sharedItems containsSemiMixedTypes="0" containsString="0" containsNumber="1" containsInteger="1" minValue="2" maxValue="24"/>
    </cacheField>
    <cacheField name="Price" numFmtId="0">
      <sharedItems containsSemiMixedTypes="0" containsString="0" containsNumber="1" containsInteger="1" minValue="1550000" maxValue="21500000"/>
    </cacheField>
    <cacheField name="Price_per_sqft" numFmtId="0">
      <sharedItems containsSemiMixedTypes="0" containsString="0" containsNumber="1" minValue="2278.7028921998249" maxValue="12520.661157024793"/>
    </cacheField>
    <cacheField name="Price_Segment" numFmtId="0">
      <sharedItems count="3">
        <s v="Mid-Range"/>
        <s v="Budget"/>
        <s v="Prem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1001"/>
    <x v="0"/>
    <n v="834"/>
    <n v="2"/>
    <n v="3"/>
    <n v="22"/>
    <s v="Yes"/>
    <s v="No"/>
    <s v="No"/>
    <s v="Yes"/>
    <x v="0"/>
    <n v="2"/>
    <n v="13"/>
    <n v="6650000"/>
    <n v="7973.6211031175062"/>
    <x v="0"/>
  </r>
  <r>
    <s v="P1002"/>
    <x v="1"/>
    <n v="1313"/>
    <n v="2"/>
    <n v="3"/>
    <n v="28"/>
    <s v="Yes"/>
    <s v="Yes"/>
    <s v="No"/>
    <s v="Yes"/>
    <x v="1"/>
    <n v="16"/>
    <n v="18"/>
    <n v="4450000"/>
    <n v="3389.1850723533894"/>
    <x v="1"/>
  </r>
  <r>
    <s v="P1003"/>
    <x v="2"/>
    <n v="1425"/>
    <n v="3"/>
    <n v="3"/>
    <n v="8"/>
    <s v="Yes"/>
    <s v="No"/>
    <s v="No"/>
    <s v="No"/>
    <x v="1"/>
    <n v="9"/>
    <n v="18"/>
    <n v="6750000"/>
    <n v="4736.8421052631575"/>
    <x v="0"/>
  </r>
  <r>
    <s v="P1004"/>
    <x v="3"/>
    <n v="1047"/>
    <m/>
    <n v="2"/>
    <n v="14"/>
    <s v="Yes"/>
    <s v="Yes"/>
    <s v="Yes"/>
    <s v="Yes"/>
    <x v="1"/>
    <n v="6"/>
    <n v="15"/>
    <n v="3950000"/>
    <n v="3772.6838586437439"/>
    <x v="1"/>
  </r>
  <r>
    <s v="P1005"/>
    <x v="2"/>
    <n v="1757"/>
    <n v="5"/>
    <n v="5"/>
    <n v="3"/>
    <s v="Yes"/>
    <s v="No"/>
    <s v="Yes"/>
    <s v="Yes"/>
    <x v="1"/>
    <n v="8"/>
    <n v="23"/>
    <n v="8400000"/>
    <n v="4780.8764940239043"/>
    <x v="0"/>
  </r>
  <r>
    <s v="P1006"/>
    <x v="3"/>
    <n v="1767"/>
    <n v="4"/>
    <n v="4"/>
    <n v="12"/>
    <s v="Yes"/>
    <s v="No"/>
    <s v="Yes"/>
    <s v="No"/>
    <x v="1"/>
    <n v="1"/>
    <n v="13"/>
    <n v="6950000"/>
    <n v="3933.2201471420485"/>
    <x v="0"/>
  </r>
  <r>
    <s v="P1007"/>
    <x v="4"/>
    <n v="1917"/>
    <n v="4"/>
    <n v="3"/>
    <n v="26"/>
    <s v="Yes"/>
    <s v="Yes"/>
    <s v="Yes"/>
    <s v="No"/>
    <x v="1"/>
    <n v="8"/>
    <n v="19"/>
    <n v="9600000"/>
    <n v="5007.824726134585"/>
    <x v="0"/>
  </r>
  <r>
    <s v="P1008"/>
    <x v="5"/>
    <n v="1196"/>
    <n v="2"/>
    <n v="3"/>
    <n v="26"/>
    <s v="Yes"/>
    <s v="Yes"/>
    <s v="No"/>
    <s v="No"/>
    <x v="1"/>
    <n v="5"/>
    <n v="18"/>
    <n v="9000000"/>
    <n v="7525.0836120401336"/>
    <x v="0"/>
  </r>
  <r>
    <s v="P1009"/>
    <x v="0"/>
    <n v="1365"/>
    <n v="3"/>
    <n v="3"/>
    <n v="19"/>
    <s v="Yes"/>
    <s v="No"/>
    <s v="Yes"/>
    <s v="Yes"/>
    <x v="1"/>
    <n v="15"/>
    <n v="18"/>
    <n v="8850000"/>
    <n v="6483.5164835164833"/>
    <x v="0"/>
  </r>
  <r>
    <s v="P1010"/>
    <x v="3"/>
    <n v="1214"/>
    <n v="2"/>
    <n v="2"/>
    <n v="27"/>
    <s v="Yes"/>
    <s v="Yes"/>
    <s v="No"/>
    <s v="Yes"/>
    <x v="1"/>
    <n v="7"/>
    <n v="7"/>
    <n v="4100000"/>
    <n v="3377.2652388797364"/>
    <x v="1"/>
  </r>
  <r>
    <s v="P1011"/>
    <x v="6"/>
    <n v="807"/>
    <n v="2"/>
    <n v="2"/>
    <n v="5"/>
    <s v="Yes"/>
    <s v="Yes"/>
    <s v="Yes"/>
    <s v="Yes"/>
    <x v="1"/>
    <n v="12"/>
    <n v="19"/>
    <n v="5450000"/>
    <n v="6753.4076827757126"/>
    <x v="0"/>
  </r>
  <r>
    <s v="P1012"/>
    <x v="0"/>
    <n v="930"/>
    <n v="2"/>
    <n v="1"/>
    <n v="25"/>
    <s v="No"/>
    <s v="Yes"/>
    <s v="No"/>
    <s v="Yes"/>
    <x v="1"/>
    <n v="17"/>
    <n v="24"/>
    <n v="5500000"/>
    <n v="5913.9784946236559"/>
    <x v="0"/>
  </r>
  <r>
    <s v="P1013"/>
    <x v="6"/>
    <n v="2115"/>
    <n v="5"/>
    <n v="5"/>
    <n v="1"/>
    <s v="Yes"/>
    <s v="Yes"/>
    <s v="No"/>
    <s v="Yes"/>
    <x v="1"/>
    <n v="11"/>
    <n v="18"/>
    <n v="15450000"/>
    <n v="7304.9645390070918"/>
    <x v="2"/>
  </r>
  <r>
    <s v="P1014"/>
    <x v="7"/>
    <n v="1602"/>
    <n v="3"/>
    <n v="4"/>
    <n v="10"/>
    <s v="No"/>
    <s v="No"/>
    <s v="Yes"/>
    <s v="Yes"/>
    <x v="1"/>
    <n v="16"/>
    <n v="18"/>
    <n v="10800000"/>
    <n v="6741.5730337078649"/>
    <x v="2"/>
  </r>
  <r>
    <s v="P1015"/>
    <x v="2"/>
    <n v="770"/>
    <n v="2"/>
    <n v="2"/>
    <n v="6"/>
    <s v="Yes"/>
    <s v="No"/>
    <s v="No"/>
    <s v="No"/>
    <x v="1"/>
    <n v="1"/>
    <n v="12"/>
    <n v="3500000"/>
    <n v="4545.454545454545"/>
    <x v="1"/>
  </r>
  <r>
    <s v="P1016"/>
    <x v="2"/>
    <n v="1196"/>
    <n v="2"/>
    <n v="2"/>
    <n v="25"/>
    <s v="No"/>
    <s v="Yes"/>
    <s v="No"/>
    <s v="No"/>
    <x v="0"/>
    <n v="12"/>
    <n v="16"/>
    <n v="4650000"/>
    <n v="3887.9598662207359"/>
    <x v="1"/>
  </r>
  <r>
    <s v="P1017"/>
    <x v="3"/>
    <n v="1283"/>
    <n v="2"/>
    <n v="1"/>
    <n v="2"/>
    <s v="No"/>
    <s v="Yes"/>
    <s v="No"/>
    <s v="No"/>
    <x v="2"/>
    <n v="17"/>
    <n v="24"/>
    <n v="6050000"/>
    <n v="4715.5105222135617"/>
    <x v="0"/>
  </r>
  <r>
    <s v="P1018"/>
    <x v="2"/>
    <n v="1452"/>
    <n v="3"/>
    <n v="3"/>
    <n v="24"/>
    <s v="Yes"/>
    <s v="Yes"/>
    <s v="No"/>
    <s v="Yes"/>
    <x v="2"/>
    <n v="16"/>
    <n v="24"/>
    <n v="8150000"/>
    <n v="5612.9476584022041"/>
    <x v="0"/>
  </r>
  <r>
    <s v="P1019"/>
    <x v="2"/>
    <n v="966"/>
    <n v="2"/>
    <n v="3"/>
    <n v="7"/>
    <s v="No"/>
    <s v="No"/>
    <s v="No"/>
    <s v="Yes"/>
    <x v="0"/>
    <n v="19"/>
    <n v="24"/>
    <n v="4350000"/>
    <n v="4503.1055900621122"/>
    <x v="1"/>
  </r>
  <r>
    <s v="P1020"/>
    <x v="0"/>
    <n v="1513"/>
    <n v="3"/>
    <n v="4"/>
    <n v="26"/>
    <s v="No"/>
    <s v="Yes"/>
    <s v="No"/>
    <s v="Yes"/>
    <x v="1"/>
    <n v="5"/>
    <n v="20"/>
    <n v="8900000"/>
    <n v="5882.3529411764703"/>
    <x v="0"/>
  </r>
  <r>
    <s v="P1021"/>
    <x v="7"/>
    <n v="1347"/>
    <n v="3"/>
    <n v="2"/>
    <n v="13"/>
    <s v="No"/>
    <s v="Yes"/>
    <s v="Yes"/>
    <s v="No"/>
    <x v="1"/>
    <n v="17"/>
    <n v="22"/>
    <n v="8250000"/>
    <n v="6124.7216035634747"/>
    <x v="0"/>
  </r>
  <r>
    <s v="P1022"/>
    <x v="3"/>
    <n v="1997"/>
    <n v="5"/>
    <n v="5"/>
    <n v="22"/>
    <s v="Yes"/>
    <s v="Yes"/>
    <s v="No"/>
    <s v="Yes"/>
    <x v="1"/>
    <n v="3"/>
    <n v="10"/>
    <n v="6050000"/>
    <n v="3029.5443164747121"/>
    <x v="0"/>
  </r>
  <r>
    <s v="P1023"/>
    <x v="1"/>
    <n v="1196"/>
    <n v="3"/>
    <n v="3"/>
    <n v="25"/>
    <s v="Yes"/>
    <s v="No"/>
    <s v="No"/>
    <s v="Yes"/>
    <x v="1"/>
    <n v="10"/>
    <n v="16"/>
    <n v="3150000"/>
    <n v="2633.7792642140466"/>
    <x v="1"/>
  </r>
  <r>
    <s v="P1024"/>
    <x v="5"/>
    <n v="1537"/>
    <n v="4"/>
    <n v="5"/>
    <n v="7"/>
    <s v="Yes"/>
    <s v="No"/>
    <s v="No"/>
    <s v="Yes"/>
    <x v="0"/>
    <n v="2"/>
    <n v="3"/>
    <n v="14200000"/>
    <n v="9238.7768379960962"/>
    <x v="2"/>
  </r>
  <r>
    <s v="P1025"/>
    <x v="4"/>
    <n v="826"/>
    <n v="1"/>
    <n v="1"/>
    <n v="16"/>
    <s v="Yes"/>
    <s v="No"/>
    <s v="No"/>
    <s v="Yes"/>
    <x v="1"/>
    <n v="1"/>
    <n v="9"/>
    <n v="3950000"/>
    <n v="4782.0823244552057"/>
    <x v="1"/>
  </r>
  <r>
    <s v="P1026"/>
    <x v="3"/>
    <n v="2079"/>
    <n v="5"/>
    <n v="5"/>
    <n v="29"/>
    <s v="Yes"/>
    <s v="No"/>
    <s v="No"/>
    <s v="No"/>
    <x v="1"/>
    <n v="10"/>
    <n v="23"/>
    <n v="6200000"/>
    <n v="2982.2029822029822"/>
    <x v="0"/>
  </r>
  <r>
    <s v="P1027"/>
    <x v="7"/>
    <n v="895"/>
    <n v="2"/>
    <n v="2"/>
    <n v="25"/>
    <s v="No"/>
    <s v="No"/>
    <s v="No"/>
    <s v="Yes"/>
    <x v="0"/>
    <n v="1"/>
    <n v="16"/>
    <n v="5250000"/>
    <n v="5865.921787709497"/>
    <x v="0"/>
  </r>
  <r>
    <s v="P1028"/>
    <x v="5"/>
    <n v="823"/>
    <n v="2"/>
    <n v="1"/>
    <n v="15"/>
    <s v="Yes"/>
    <s v="No"/>
    <s v="No"/>
    <s v="Yes"/>
    <x v="1"/>
    <n v="3"/>
    <n v="14"/>
    <n v="6550000"/>
    <n v="7958.6877278250304"/>
    <x v="0"/>
  </r>
  <r>
    <s v="P1029"/>
    <x v="5"/>
    <n v="1227"/>
    <n v="3"/>
    <n v="2"/>
    <n v="14"/>
    <s v="Yes"/>
    <s v="No"/>
    <s v="No"/>
    <s v="Yes"/>
    <x v="1"/>
    <n v="16"/>
    <n v="20"/>
    <n v="8950000"/>
    <n v="7294.2135289323551"/>
    <x v="0"/>
  </r>
  <r>
    <s v="P1030"/>
    <x v="0"/>
    <n v="1643"/>
    <n v="3"/>
    <n v="4"/>
    <n v="4"/>
    <s v="No"/>
    <s v="Yes"/>
    <s v="Yes"/>
    <s v="No"/>
    <x v="1"/>
    <n v="1"/>
    <n v="6"/>
    <n v="10900000"/>
    <n v="6634.2057212416312"/>
    <x v="2"/>
  </r>
  <r>
    <s v="P1031"/>
    <x v="3"/>
    <n v="812"/>
    <n v="1"/>
    <n v="1"/>
    <n v="26"/>
    <s v="No"/>
    <s v="No"/>
    <s v="No"/>
    <s v="Yes"/>
    <x v="1"/>
    <n v="19"/>
    <n v="21"/>
    <n v="2250000"/>
    <n v="2770.9359605911332"/>
    <x v="1"/>
  </r>
  <r>
    <s v="P1032"/>
    <x v="3"/>
    <n v="1629"/>
    <n v="4"/>
    <n v="4"/>
    <n v="11"/>
    <s v="Yes"/>
    <s v="Yes"/>
    <s v="Yes"/>
    <s v="Yes"/>
    <x v="0"/>
    <n v="17"/>
    <n v="18"/>
    <n v="7200000"/>
    <n v="4419.8895027624312"/>
    <x v="0"/>
  </r>
  <r>
    <s v="P1033"/>
    <x v="4"/>
    <n v="1344"/>
    <n v="3"/>
    <n v="3"/>
    <n v="25"/>
    <s v="Yes"/>
    <s v="No"/>
    <s v="No"/>
    <s v="Yes"/>
    <x v="1"/>
    <n v="4"/>
    <n v="13"/>
    <n v="5000000"/>
    <n v="3720.2380952380954"/>
    <x v="0"/>
  </r>
  <r>
    <s v="P1034"/>
    <x v="3"/>
    <n v="1239"/>
    <n v="3"/>
    <n v="2"/>
    <n v="16"/>
    <s v="No"/>
    <s v="Yes"/>
    <s v="No"/>
    <s v="No"/>
    <x v="0"/>
    <n v="17"/>
    <n v="23"/>
    <n v="4750000"/>
    <n v="3833.7368845843421"/>
    <x v="1"/>
  </r>
  <r>
    <s v="P1035"/>
    <x v="3"/>
    <n v="991"/>
    <n v="2"/>
    <n v="1"/>
    <n v="24"/>
    <s v="Yes"/>
    <s v="No"/>
    <s v="No"/>
    <s v="Yes"/>
    <x v="0"/>
    <n v="9"/>
    <n v="11"/>
    <n v="4400000"/>
    <n v="4439.9596367305749"/>
    <x v="1"/>
  </r>
  <r>
    <s v="P1036"/>
    <x v="2"/>
    <n v="2094"/>
    <n v="4"/>
    <n v="4"/>
    <n v="20"/>
    <s v="Yes"/>
    <s v="No"/>
    <s v="No"/>
    <s v="Yes"/>
    <x v="1"/>
    <n v="16"/>
    <n v="24"/>
    <n v="9350000"/>
    <n v="4465.1384909264561"/>
    <x v="0"/>
  </r>
  <r>
    <s v="P1037"/>
    <x v="0"/>
    <n v="1525"/>
    <n v="3"/>
    <n v="3"/>
    <n v="10"/>
    <s v="Yes"/>
    <s v="No"/>
    <s v="No"/>
    <s v="No"/>
    <x v="1"/>
    <n v="17"/>
    <n v="21"/>
    <n v="10050000"/>
    <n v="6590.1639344262294"/>
    <x v="2"/>
  </r>
  <r>
    <s v="P1038"/>
    <x v="1"/>
    <n v="1509"/>
    <n v="3"/>
    <n v="3"/>
    <n v="1"/>
    <s v="Yes"/>
    <s v="Yes"/>
    <s v="No"/>
    <s v="Yes"/>
    <x v="1"/>
    <n v="1"/>
    <n v="23"/>
    <n v="5750000"/>
    <n v="3810.470510271703"/>
    <x v="0"/>
  </r>
  <r>
    <s v="P1039"/>
    <x v="2"/>
    <n v="1630"/>
    <n v="4"/>
    <n v="5"/>
    <n v="30"/>
    <s v="Yes"/>
    <s v="Yes"/>
    <s v="No"/>
    <s v="Yes"/>
    <x v="1"/>
    <n v="19"/>
    <n v="24"/>
    <n v="7150000"/>
    <n v="4386.503067484663"/>
    <x v="0"/>
  </r>
  <r>
    <s v="P1040"/>
    <x v="7"/>
    <n v="1203"/>
    <n v="2"/>
    <n v="2"/>
    <n v="30"/>
    <s v="Yes"/>
    <s v="No"/>
    <s v="No"/>
    <s v="No"/>
    <x v="1"/>
    <n v="17"/>
    <n v="17"/>
    <n v="6050000"/>
    <n v="5029.0939318370738"/>
    <x v="0"/>
  </r>
  <r>
    <s v="P1041"/>
    <x v="4"/>
    <n v="1390"/>
    <n v="3"/>
    <n v="3"/>
    <n v="4"/>
    <s v="Yes"/>
    <s v="No"/>
    <s v="Yes"/>
    <s v="Yes"/>
    <x v="1"/>
    <n v="17"/>
    <n v="22"/>
    <n v="7900000"/>
    <n v="5683.4532374100718"/>
    <x v="0"/>
  </r>
  <r>
    <s v="P1042"/>
    <x v="0"/>
    <n v="1330"/>
    <n v="3"/>
    <n v="3"/>
    <n v="27"/>
    <s v="Yes"/>
    <s v="Yes"/>
    <s v="No"/>
    <s v="Yes"/>
    <x v="1"/>
    <n v="18"/>
    <n v="21"/>
    <n v="8650000"/>
    <n v="6503.7593984962405"/>
    <x v="0"/>
  </r>
  <r>
    <s v="P1043"/>
    <x v="2"/>
    <n v="1111"/>
    <n v="2"/>
    <n v="2"/>
    <n v="0"/>
    <s v="Yes"/>
    <s v="No"/>
    <s v="No"/>
    <s v="Yes"/>
    <x v="1"/>
    <n v="3"/>
    <n v="8"/>
    <n v="6250000"/>
    <n v="5625.5625562556252"/>
    <x v="0"/>
  </r>
  <r>
    <s v="P1044"/>
    <x v="5"/>
    <n v="1476"/>
    <n v="3"/>
    <n v="2"/>
    <n v="17"/>
    <s v="Yes"/>
    <s v="Yes"/>
    <s v="No"/>
    <s v="Yes"/>
    <x v="1"/>
    <n v="18"/>
    <n v="24"/>
    <n v="11000000"/>
    <n v="7452.5745257452572"/>
    <x v="2"/>
  </r>
  <r>
    <s v="P1045"/>
    <x v="6"/>
    <n v="1329"/>
    <n v="3"/>
    <n v="2"/>
    <n v="2"/>
    <s v="Yes"/>
    <s v="Yes"/>
    <s v="Yes"/>
    <s v="Yes"/>
    <x v="1"/>
    <n v="5"/>
    <n v="9"/>
    <n v="11000000"/>
    <n v="8276.8999247554548"/>
    <x v="2"/>
  </r>
  <r>
    <s v="P1046"/>
    <x v="1"/>
    <n v="1293"/>
    <n v="3"/>
    <n v="4"/>
    <n v="13"/>
    <s v="Yes"/>
    <s v="Yes"/>
    <s v="Yes"/>
    <s v="No"/>
    <x v="2"/>
    <n v="8"/>
    <n v="9"/>
    <n v="5750000"/>
    <n v="4447.022428460944"/>
    <x v="0"/>
  </r>
  <r>
    <s v="P1047"/>
    <x v="2"/>
    <n v="1079"/>
    <n v="1"/>
    <n v="1"/>
    <n v="26"/>
    <s v="Yes"/>
    <s v="No"/>
    <s v="No"/>
    <s v="Yes"/>
    <x v="1"/>
    <n v="17"/>
    <n v="24"/>
    <n v="4250000"/>
    <n v="3938.8322520852639"/>
    <x v="1"/>
  </r>
  <r>
    <s v="P1048"/>
    <x v="0"/>
    <n v="1556"/>
    <n v="3"/>
    <n v="4"/>
    <n v="6"/>
    <s v="Yes"/>
    <s v="Yes"/>
    <s v="No"/>
    <s v="Yes"/>
    <x v="1"/>
    <n v="15"/>
    <n v="17"/>
    <n v="11900000"/>
    <n v="7647.8149100257069"/>
    <x v="2"/>
  </r>
  <r>
    <s v="P1049"/>
    <x v="0"/>
    <n v="1262"/>
    <n v="3"/>
    <n v="2"/>
    <n v="22"/>
    <s v="Yes"/>
    <s v="No"/>
    <s v="No"/>
    <s v="Yes"/>
    <x v="0"/>
    <n v="17"/>
    <n v="18"/>
    <n v="9550000"/>
    <n v="7567.3534072900156"/>
    <x v="0"/>
  </r>
  <r>
    <s v="P1050"/>
    <x v="6"/>
    <n v="1075"/>
    <n v="3"/>
    <n v="3"/>
    <n v="29"/>
    <s v="Yes"/>
    <s v="Yes"/>
    <s v="Yes"/>
    <s v="Yes"/>
    <x v="1"/>
    <n v="16"/>
    <n v="21"/>
    <n v="6950000"/>
    <n v="6465.1162790697672"/>
    <x v="0"/>
  </r>
  <r>
    <s v="P1051"/>
    <x v="4"/>
    <n v="1038"/>
    <n v="2"/>
    <n v="1"/>
    <n v="28"/>
    <s v="No"/>
    <s v="No"/>
    <s v="Yes"/>
    <s v="No"/>
    <x v="0"/>
    <n v="18"/>
    <n v="21"/>
    <n v="5300000"/>
    <n v="5105.9730250481698"/>
    <x v="0"/>
  </r>
  <r>
    <s v="P1052"/>
    <x v="5"/>
    <n v="663"/>
    <n v="2"/>
    <n v="1"/>
    <n v="13"/>
    <s v="Yes"/>
    <s v="Yes"/>
    <s v="No"/>
    <s v="Yes"/>
    <x v="1"/>
    <n v="15"/>
    <n v="23"/>
    <n v="5400000"/>
    <n v="8144.7963800904981"/>
    <x v="0"/>
  </r>
  <r>
    <s v="P1053"/>
    <x v="1"/>
    <n v="1782"/>
    <n v="4"/>
    <n v="5"/>
    <n v="19"/>
    <s v="Yes"/>
    <s v="Yes"/>
    <s v="No"/>
    <s v="Yes"/>
    <x v="1"/>
    <n v="14"/>
    <n v="21"/>
    <n v="5550000"/>
    <n v="3114.4781144781145"/>
    <x v="0"/>
  </r>
  <r>
    <s v="P1054"/>
    <x v="5"/>
    <n v="903"/>
    <n v="1"/>
    <n v="1"/>
    <n v="13"/>
    <s v="Yes"/>
    <s v="Yes"/>
    <s v="No"/>
    <s v="Yes"/>
    <x v="0"/>
    <n v="19"/>
    <n v="19"/>
    <n v="8100000"/>
    <n v="8970.0996677740859"/>
    <x v="0"/>
  </r>
  <r>
    <s v="P1055"/>
    <x v="0"/>
    <n v="519"/>
    <n v="1"/>
    <n v="1"/>
    <n v="12"/>
    <s v="Yes"/>
    <s v="No"/>
    <s v="No"/>
    <s v="Yes"/>
    <x v="1"/>
    <n v="15"/>
    <n v="18"/>
    <n v="3550000"/>
    <n v="6840.0770712909443"/>
    <x v="1"/>
  </r>
  <r>
    <s v="P1056"/>
    <x v="0"/>
    <n v="988"/>
    <n v="3"/>
    <n v="2"/>
    <n v="4"/>
    <s v="Yes"/>
    <s v="No"/>
    <s v="No"/>
    <s v="Yes"/>
    <x v="0"/>
    <n v="13"/>
    <n v="18"/>
    <n v="8600000"/>
    <n v="8704.4534412955472"/>
    <x v="0"/>
  </r>
  <r>
    <s v="P1057"/>
    <x v="3"/>
    <n v="717"/>
    <n v="1"/>
    <n v="2"/>
    <n v="3"/>
    <s v="No"/>
    <s v="Yes"/>
    <s v="No"/>
    <s v="Yes"/>
    <x v="2"/>
    <n v="9"/>
    <n v="15"/>
    <n v="3550000"/>
    <n v="4951.1854951185496"/>
    <x v="1"/>
  </r>
  <r>
    <s v="P1058"/>
    <x v="7"/>
    <n v="1193"/>
    <n v="2"/>
    <n v="2"/>
    <n v="14"/>
    <s v="No"/>
    <s v="Yes"/>
    <s v="Yes"/>
    <s v="Yes"/>
    <x v="1"/>
    <n v="2"/>
    <n v="16"/>
    <n v="7400000"/>
    <n v="6202.849958088852"/>
    <x v="0"/>
  </r>
  <r>
    <s v="P1059"/>
    <x v="7"/>
    <n v="886"/>
    <n v="2"/>
    <n v="2"/>
    <n v="19"/>
    <s v="Yes"/>
    <s v="Yes"/>
    <s v="No"/>
    <s v="Yes"/>
    <x v="1"/>
    <n v="5"/>
    <n v="15"/>
    <n v="5300000"/>
    <n v="5981.9413092550794"/>
    <x v="0"/>
  </r>
  <r>
    <s v="P1060"/>
    <x v="0"/>
    <n v="1215"/>
    <n v="3"/>
    <n v="2"/>
    <n v="4"/>
    <s v="Yes"/>
    <s v="No"/>
    <s v="No"/>
    <s v="No"/>
    <x v="1"/>
    <n v="1"/>
    <n v="6"/>
    <n v="7050000"/>
    <n v="5802.4691358024693"/>
    <x v="0"/>
  </r>
  <r>
    <s v="P1061"/>
    <x v="6"/>
    <n v="1453"/>
    <n v="3"/>
    <n v="3"/>
    <n v="29"/>
    <s v="Yes"/>
    <s v="Yes"/>
    <s v="No"/>
    <s v="No"/>
    <x v="0"/>
    <n v="2"/>
    <n v="13"/>
    <n v="8650000"/>
    <n v="5953.2002752924982"/>
    <x v="0"/>
  </r>
  <r>
    <s v="P1062"/>
    <x v="7"/>
    <n v="1328"/>
    <n v="3"/>
    <n v="3"/>
    <n v="8"/>
    <s v="No"/>
    <s v="No"/>
    <s v="No"/>
    <s v="Yes"/>
    <x v="1"/>
    <n v="19"/>
    <n v="21"/>
    <n v="7700000"/>
    <n v="5798.1927710843374"/>
    <x v="0"/>
  </r>
  <r>
    <s v="P1063"/>
    <x v="1"/>
    <n v="1357"/>
    <n v="2"/>
    <n v="3"/>
    <n v="7"/>
    <s v="Yes"/>
    <s v="Yes"/>
    <s v="No"/>
    <s v="Yes"/>
    <x v="1"/>
    <n v="15"/>
    <n v="15"/>
    <n v="5350000"/>
    <n v="3942.5202652910834"/>
    <x v="0"/>
  </r>
  <r>
    <s v="P1064"/>
    <x v="6"/>
    <n v="1210"/>
    <n v="2"/>
    <n v="2"/>
    <n v="18"/>
    <s v="Yes"/>
    <s v="Yes"/>
    <s v="No"/>
    <s v="Yes"/>
    <x v="1"/>
    <n v="10"/>
    <n v="13"/>
    <n v="7500000"/>
    <n v="6198.3471074380168"/>
    <x v="0"/>
  </r>
  <r>
    <s v="P1065"/>
    <x v="0"/>
    <n v="1262"/>
    <n v="3"/>
    <n v="3"/>
    <n v="0"/>
    <s v="Yes"/>
    <s v="No"/>
    <s v="Yes"/>
    <s v="Yes"/>
    <x v="0"/>
    <n v="2"/>
    <n v="11"/>
    <n v="11450000"/>
    <n v="9072.9001584786056"/>
    <x v="2"/>
  </r>
  <r>
    <s v="P1066"/>
    <x v="3"/>
    <n v="1001"/>
    <n v="2"/>
    <n v="3"/>
    <n v="28"/>
    <s v="Yes"/>
    <s v="Yes"/>
    <s v="No"/>
    <s v="Yes"/>
    <x v="0"/>
    <n v="19"/>
    <n v="21"/>
    <n v="3350000"/>
    <n v="3346.6533466533465"/>
    <x v="1"/>
  </r>
  <r>
    <s v="P1067"/>
    <x v="2"/>
    <n v="837"/>
    <n v="2"/>
    <n v="3"/>
    <n v="22"/>
    <s v="Yes"/>
    <s v="No"/>
    <s v="Yes"/>
    <s v="Yes"/>
    <x v="1"/>
    <n v="18"/>
    <n v="18"/>
    <n v="3500000"/>
    <n v="4181.6009557945044"/>
    <x v="1"/>
  </r>
  <r>
    <s v="P1068"/>
    <x v="6"/>
    <n v="1966"/>
    <n v="4"/>
    <n v="4"/>
    <n v="30"/>
    <s v="Yes"/>
    <s v="Yes"/>
    <s v="No"/>
    <s v="No"/>
    <x v="1"/>
    <n v="11"/>
    <n v="17"/>
    <n v="11100000"/>
    <n v="5645.9816887080369"/>
    <x v="2"/>
  </r>
  <r>
    <s v="P1069"/>
    <x v="6"/>
    <n v="2160"/>
    <n v="5"/>
    <n v="5"/>
    <n v="7"/>
    <s v="Yes"/>
    <s v="Yes"/>
    <s v="No"/>
    <s v="Yes"/>
    <x v="1"/>
    <n v="9"/>
    <n v="11"/>
    <n v="15950000"/>
    <n v="7384.2592592592591"/>
    <x v="2"/>
  </r>
  <r>
    <s v="P1070"/>
    <x v="0"/>
    <n v="1469"/>
    <n v="4"/>
    <n v="4"/>
    <n v="26"/>
    <s v="Yes"/>
    <s v="Yes"/>
    <s v="No"/>
    <s v="Yes"/>
    <x v="1"/>
    <n v="7"/>
    <n v="12"/>
    <n v="6950000"/>
    <n v="4731.1095983662353"/>
    <x v="0"/>
  </r>
  <r>
    <s v="P1071"/>
    <x v="3"/>
    <n v="866"/>
    <n v="2"/>
    <n v="2"/>
    <n v="19"/>
    <s v="Yes"/>
    <s v="No"/>
    <s v="No"/>
    <s v="Yes"/>
    <x v="2"/>
    <n v="8"/>
    <n v="24"/>
    <n v="4050000"/>
    <n v="4676.6743648960737"/>
    <x v="1"/>
  </r>
  <r>
    <s v="P1072"/>
    <x v="0"/>
    <n v="835"/>
    <n v="1"/>
    <n v="1"/>
    <n v="29"/>
    <s v="Yes"/>
    <s v="Yes"/>
    <s v="No"/>
    <s v="Yes"/>
    <x v="1"/>
    <n v="18"/>
    <n v="18"/>
    <n v="4900000"/>
    <n v="5868.2634730538921"/>
    <x v="1"/>
  </r>
  <r>
    <s v="P1073"/>
    <x v="1"/>
    <n v="1248"/>
    <n v="3"/>
    <n v="3"/>
    <n v="18"/>
    <s v="Yes"/>
    <s v="Yes"/>
    <s v="No"/>
    <s v="No"/>
    <x v="0"/>
    <n v="10"/>
    <n v="19"/>
    <n v="3200000"/>
    <n v="2564.102564102564"/>
    <x v="1"/>
  </r>
  <r>
    <s v="P1074"/>
    <x v="7"/>
    <n v="1269"/>
    <n v="2"/>
    <n v="2"/>
    <n v="2"/>
    <s v="Yes"/>
    <s v="No"/>
    <s v="Yes"/>
    <s v="Yes"/>
    <x v="0"/>
    <n v="15"/>
    <n v="19"/>
    <n v="7900000"/>
    <n v="6225.3743104806936"/>
    <x v="0"/>
  </r>
  <r>
    <s v="P1075"/>
    <x v="7"/>
    <n v="1574"/>
    <n v="3"/>
    <n v="3"/>
    <n v="15"/>
    <s v="Yes"/>
    <s v="No"/>
    <s v="Yes"/>
    <s v="Yes"/>
    <x v="2"/>
    <n v="16"/>
    <n v="17"/>
    <n v="13250000"/>
    <n v="8418.0432020330372"/>
    <x v="2"/>
  </r>
  <r>
    <s v="P1076"/>
    <x v="0"/>
    <n v="1049"/>
    <n v="3"/>
    <n v="4"/>
    <n v="1"/>
    <s v="No"/>
    <s v="No"/>
    <s v="No"/>
    <s v="No"/>
    <x v="0"/>
    <n v="3"/>
    <n v="14"/>
    <n v="9300000"/>
    <n v="8865.5862726406103"/>
    <x v="0"/>
  </r>
  <r>
    <s v="P1077"/>
    <x v="2"/>
    <n v="734"/>
    <n v="2"/>
    <n v="1"/>
    <n v="19"/>
    <s v="No"/>
    <s v="No"/>
    <s v="Yes"/>
    <s v="Yes"/>
    <x v="0"/>
    <n v="14"/>
    <n v="20"/>
    <n v="3400000"/>
    <n v="4632.1525885558585"/>
    <x v="1"/>
  </r>
  <r>
    <s v="P1078"/>
    <x v="4"/>
    <n v="1405"/>
    <n v="3"/>
    <n v="2"/>
    <n v="12"/>
    <s v="Yes"/>
    <s v="Yes"/>
    <s v="No"/>
    <s v="Yes"/>
    <x v="1"/>
    <n v="13"/>
    <n v="14"/>
    <n v="6250000"/>
    <n v="4448.3985765124553"/>
    <x v="0"/>
  </r>
  <r>
    <s v="P1079"/>
    <x v="0"/>
    <n v="1748"/>
    <n v="4"/>
    <n v="5"/>
    <n v="1"/>
    <s v="Yes"/>
    <s v="No"/>
    <s v="No"/>
    <s v="Yes"/>
    <x v="0"/>
    <n v="10"/>
    <n v="15"/>
    <n v="15950000"/>
    <n v="9124.713958810069"/>
    <x v="2"/>
  </r>
  <r>
    <s v="P1080"/>
    <x v="3"/>
    <n v="1341"/>
    <n v="2"/>
    <n v="2"/>
    <n v="24"/>
    <s v="Yes"/>
    <s v="No"/>
    <s v="No"/>
    <s v="Yes"/>
    <x v="1"/>
    <n v="14"/>
    <n v="15"/>
    <n v="4750000"/>
    <n v="3542.132736763609"/>
    <x v="1"/>
  </r>
  <r>
    <s v="P1081"/>
    <x v="2"/>
    <n v="791"/>
    <n v="2"/>
    <n v="3"/>
    <n v="20"/>
    <s v="No"/>
    <s v="Yes"/>
    <s v="No"/>
    <s v="Yes"/>
    <x v="2"/>
    <n v="8"/>
    <n v="10"/>
    <n v="4650000"/>
    <n v="5878.6346396965864"/>
    <x v="1"/>
  </r>
  <r>
    <s v="P1082"/>
    <x v="1"/>
    <n v="1034"/>
    <n v="3"/>
    <n v="4"/>
    <n v="14"/>
    <s v="Yes"/>
    <s v="No"/>
    <s v="Yes"/>
    <s v="Yes"/>
    <x v="1"/>
    <n v="13"/>
    <n v="23"/>
    <n v="3700000"/>
    <n v="3578.3365570599613"/>
    <x v="1"/>
  </r>
  <r>
    <s v="P1083"/>
    <x v="5"/>
    <n v="1382"/>
    <n v="3"/>
    <n v="2"/>
    <n v="24"/>
    <s v="Yes"/>
    <s v="No"/>
    <s v="No"/>
    <s v="Yes"/>
    <x v="0"/>
    <n v="18"/>
    <n v="22"/>
    <n v="10200000"/>
    <n v="7380.6078147612152"/>
    <x v="2"/>
  </r>
  <r>
    <s v="P1084"/>
    <x v="2"/>
    <n v="994"/>
    <n v="2"/>
    <n v="2"/>
    <n v="26"/>
    <s v="No"/>
    <s v="Yes"/>
    <s v="No"/>
    <s v="Yes"/>
    <x v="0"/>
    <n v="15"/>
    <n v="22"/>
    <n v="4150000"/>
    <n v="4175.0503018108648"/>
    <x v="1"/>
  </r>
  <r>
    <s v="P1085"/>
    <x v="7"/>
    <n v="1500"/>
    <n v="3"/>
    <n v="4"/>
    <n v="24"/>
    <s v="No"/>
    <s v="No"/>
    <s v="No"/>
    <s v="Yes"/>
    <x v="0"/>
    <n v="15"/>
    <n v="24"/>
    <n v="8650000"/>
    <n v="5766.666666666667"/>
    <x v="0"/>
  </r>
  <r>
    <s v="P1086"/>
    <x v="4"/>
    <n v="698"/>
    <n v="2"/>
    <n v="3"/>
    <n v="14"/>
    <s v="Yes"/>
    <s v="Yes"/>
    <s v="No"/>
    <s v="No"/>
    <x v="2"/>
    <n v="18"/>
    <n v="24"/>
    <n v="4550000"/>
    <n v="6518.6246418338105"/>
    <x v="1"/>
  </r>
  <r>
    <s v="P1087"/>
    <x v="1"/>
    <n v="1097"/>
    <n v="3"/>
    <n v="3"/>
    <n v="27"/>
    <s v="Yes"/>
    <s v="No"/>
    <s v="No"/>
    <s v="Yes"/>
    <x v="1"/>
    <n v="12"/>
    <n v="18"/>
    <n v="3200000"/>
    <n v="2917.0464904284413"/>
    <x v="1"/>
  </r>
  <r>
    <s v="P1088"/>
    <x v="0"/>
    <n v="1376"/>
    <n v="3"/>
    <n v="2"/>
    <n v="12"/>
    <s v="Yes"/>
    <s v="Yes"/>
    <s v="Yes"/>
    <s v="No"/>
    <x v="0"/>
    <n v="13"/>
    <n v="14"/>
    <n v="12650000"/>
    <n v="9193.3139534883721"/>
    <x v="2"/>
  </r>
  <r>
    <s v="P1089"/>
    <x v="4"/>
    <n v="795"/>
    <n v="1"/>
    <n v="1"/>
    <n v="15"/>
    <s v="No"/>
    <s v="No"/>
    <s v="No"/>
    <s v="Yes"/>
    <x v="2"/>
    <n v="7"/>
    <n v="11"/>
    <n v="4650000"/>
    <n v="5849.0566037735853"/>
    <x v="1"/>
  </r>
  <r>
    <s v="P1090"/>
    <x v="6"/>
    <n v="869"/>
    <n v="2"/>
    <n v="2"/>
    <n v="24"/>
    <s v="Yes"/>
    <s v="No"/>
    <s v="Yes"/>
    <s v="Yes"/>
    <x v="1"/>
    <n v="4"/>
    <n v="15"/>
    <n v="4850000"/>
    <n v="5581.1277330264675"/>
    <x v="1"/>
  </r>
  <r>
    <s v="P1091"/>
    <x v="7"/>
    <n v="1399"/>
    <n v="3"/>
    <n v="3"/>
    <n v="30"/>
    <s v="No"/>
    <s v="Yes"/>
    <s v="No"/>
    <s v="Yes"/>
    <x v="2"/>
    <n v="20"/>
    <n v="23"/>
    <n v="9300000"/>
    <n v="6647.6054324517509"/>
    <x v="0"/>
  </r>
  <r>
    <s v="P1092"/>
    <x v="7"/>
    <n v="1726"/>
    <n v="4"/>
    <n v="5"/>
    <n v="8"/>
    <s v="Yes"/>
    <s v="No"/>
    <s v="No"/>
    <s v="Yes"/>
    <x v="1"/>
    <n v="15"/>
    <n v="21"/>
    <n v="9900000"/>
    <n v="5735.8053302433373"/>
    <x v="0"/>
  </r>
  <r>
    <s v="P1093"/>
    <x v="6"/>
    <n v="1282"/>
    <n v="3"/>
    <n v="2"/>
    <n v="17"/>
    <s v="Yes"/>
    <s v="No"/>
    <s v="No"/>
    <s v="Yes"/>
    <x v="1"/>
    <n v="13"/>
    <n v="20"/>
    <n v="6950000"/>
    <n v="5421.2168486739465"/>
    <x v="0"/>
  </r>
  <r>
    <s v="P1094"/>
    <x v="3"/>
    <n v="1239"/>
    <n v="3"/>
    <n v="4"/>
    <n v="8"/>
    <s v="Yes"/>
    <s v="No"/>
    <s v="Yes"/>
    <s v="Yes"/>
    <x v="1"/>
    <n v="5"/>
    <n v="15"/>
    <n v="4900000"/>
    <n v="3954.8022598870057"/>
    <x v="1"/>
  </r>
  <r>
    <s v="P1095"/>
    <x v="7"/>
    <n v="1044"/>
    <n v="2"/>
    <n v="2"/>
    <n v="5"/>
    <s v="No"/>
    <s v="Yes"/>
    <s v="No"/>
    <s v="No"/>
    <x v="1"/>
    <n v="18"/>
    <n v="22"/>
    <n v="7200000"/>
    <n v="6896.5517241379312"/>
    <x v="0"/>
  </r>
  <r>
    <s v="P1096"/>
    <x v="4"/>
    <n v="1988"/>
    <n v="4"/>
    <n v="4"/>
    <n v="26"/>
    <s v="No"/>
    <s v="No"/>
    <s v="No"/>
    <s v="No"/>
    <x v="1"/>
    <n v="1"/>
    <n v="17"/>
    <n v="7150000"/>
    <n v="3596.5794768611672"/>
    <x v="0"/>
  </r>
  <r>
    <s v="P1097"/>
    <x v="6"/>
    <n v="1231"/>
    <n v="2"/>
    <n v="3"/>
    <n v="5"/>
    <s v="Yes"/>
    <s v="No"/>
    <s v="No"/>
    <s v="Yes"/>
    <x v="1"/>
    <n v="10"/>
    <n v="19"/>
    <n v="9150000"/>
    <n v="7432.981316003249"/>
    <x v="0"/>
  </r>
  <r>
    <s v="P1098"/>
    <x v="4"/>
    <n v="1425"/>
    <n v="3"/>
    <n v="3"/>
    <n v="28"/>
    <s v="Yes"/>
    <s v="Yes"/>
    <s v="Yes"/>
    <s v="Yes"/>
    <x v="1"/>
    <n v="9"/>
    <n v="9"/>
    <n v="7000000"/>
    <n v="4912.2807017543855"/>
    <x v="0"/>
  </r>
  <r>
    <s v="P1099"/>
    <x v="4"/>
    <n v="1294"/>
    <n v="3"/>
    <n v="4"/>
    <n v="29"/>
    <s v="Yes"/>
    <s v="Yes"/>
    <s v="No"/>
    <s v="Yes"/>
    <x v="1"/>
    <n v="15"/>
    <n v="19"/>
    <n v="5750000"/>
    <n v="4443.5857805255027"/>
    <x v="0"/>
  </r>
  <r>
    <s v="P1100"/>
    <x v="3"/>
    <n v="1016"/>
    <n v="2"/>
    <n v="2"/>
    <n v="16"/>
    <s v="No"/>
    <s v="No"/>
    <s v="No"/>
    <s v="Yes"/>
    <x v="0"/>
    <n v="18"/>
    <n v="19"/>
    <n v="3500000"/>
    <n v="3444.8818897637793"/>
    <x v="1"/>
  </r>
  <r>
    <s v="P1101"/>
    <x v="1"/>
    <n v="2348"/>
    <n v="5"/>
    <n v="5"/>
    <n v="11"/>
    <s v="Yes"/>
    <s v="Yes"/>
    <s v="No"/>
    <s v="Yes"/>
    <x v="2"/>
    <n v="19"/>
    <n v="21"/>
    <n v="12850000"/>
    <n v="5472.7427597955711"/>
    <x v="2"/>
  </r>
  <r>
    <s v="P1102"/>
    <x v="5"/>
    <n v="828"/>
    <n v="2"/>
    <n v="2"/>
    <n v="22"/>
    <s v="No"/>
    <s v="Yes"/>
    <s v="No"/>
    <s v="Yes"/>
    <x v="1"/>
    <n v="20"/>
    <n v="22"/>
    <n v="5700000"/>
    <n v="6884.057971014493"/>
    <x v="0"/>
  </r>
  <r>
    <s v="P1103"/>
    <x v="7"/>
    <n v="2227"/>
    <n v="5"/>
    <n v="5"/>
    <n v="4"/>
    <s v="Yes"/>
    <s v="Yes"/>
    <s v="No"/>
    <s v="No"/>
    <x v="0"/>
    <n v="1"/>
    <n v="7"/>
    <n v="16100000"/>
    <n v="7229.4566681634487"/>
    <x v="2"/>
  </r>
  <r>
    <s v="P1104"/>
    <x v="0"/>
    <n v="824"/>
    <n v="2"/>
    <n v="1"/>
    <n v="14"/>
    <s v="Yes"/>
    <s v="Yes"/>
    <s v="Yes"/>
    <s v="Yes"/>
    <x v="0"/>
    <n v="8"/>
    <n v="22"/>
    <n v="7450000"/>
    <n v="9041.2621359223303"/>
    <x v="0"/>
  </r>
  <r>
    <s v="P1105"/>
    <x v="7"/>
    <n v="1233"/>
    <n v="3"/>
    <n v="3"/>
    <n v="23"/>
    <s v="No"/>
    <s v="No"/>
    <s v="No"/>
    <s v="Yes"/>
    <x v="0"/>
    <n v="14"/>
    <n v="20"/>
    <n v="7450000"/>
    <n v="6042.1735604217356"/>
    <x v="0"/>
  </r>
  <r>
    <s v="P1106"/>
    <x v="6"/>
    <n v="1042"/>
    <n v="2"/>
    <n v="1"/>
    <n v="30"/>
    <s v="Yes"/>
    <s v="Yes"/>
    <s v="No"/>
    <s v="Yes"/>
    <x v="0"/>
    <n v="13"/>
    <n v="13"/>
    <n v="5650000"/>
    <n v="5422.2648752399236"/>
    <x v="0"/>
  </r>
  <r>
    <s v="P1107"/>
    <x v="4"/>
    <n v="1795"/>
    <n v="3"/>
    <n v="3"/>
    <n v="10"/>
    <s v="Yes"/>
    <s v="No"/>
    <s v="No"/>
    <s v="Yes"/>
    <x v="1"/>
    <n v="19"/>
    <n v="19"/>
    <n v="8550000"/>
    <n v="4763.2311977715881"/>
    <x v="0"/>
  </r>
  <r>
    <s v="P1108"/>
    <x v="6"/>
    <n v="1444"/>
    <n v="3"/>
    <n v="3"/>
    <n v="17"/>
    <s v="Yes"/>
    <s v="Yes"/>
    <s v="Yes"/>
    <s v="Yes"/>
    <x v="1"/>
    <n v="1"/>
    <n v="14"/>
    <n v="10900000"/>
    <n v="7548.4764542936291"/>
    <x v="2"/>
  </r>
  <r>
    <s v="P1109"/>
    <x v="2"/>
    <n v="1227"/>
    <n v="2"/>
    <n v="2"/>
    <n v="1"/>
    <s v="Yes"/>
    <s v="No"/>
    <s v="No"/>
    <s v="Yes"/>
    <x v="1"/>
    <n v="6"/>
    <n v="14"/>
    <n v="6250000"/>
    <n v="5093.7245313773428"/>
    <x v="0"/>
  </r>
  <r>
    <s v="P1110"/>
    <x v="1"/>
    <n v="1475"/>
    <n v="3"/>
    <n v="2"/>
    <n v="17"/>
    <s v="Yes"/>
    <s v="No"/>
    <s v="No"/>
    <s v="Yes"/>
    <x v="0"/>
    <n v="11"/>
    <n v="14"/>
    <n v="5300000"/>
    <n v="3593.2203389830506"/>
    <x v="0"/>
  </r>
  <r>
    <s v="P1111"/>
    <x v="4"/>
    <n v="1645"/>
    <n v="4"/>
    <n v="4"/>
    <n v="27"/>
    <s v="Yes"/>
    <s v="Yes"/>
    <s v="Yes"/>
    <s v="Yes"/>
    <x v="1"/>
    <n v="13"/>
    <n v="21"/>
    <n v="7900000"/>
    <n v="4802.4316109422489"/>
    <x v="0"/>
  </r>
  <r>
    <s v="P1112"/>
    <x v="3"/>
    <n v="1152"/>
    <n v="2"/>
    <n v="2"/>
    <n v="20"/>
    <s v="Yes"/>
    <s v="Yes"/>
    <s v="No"/>
    <s v="Yes"/>
    <x v="0"/>
    <n v="5"/>
    <n v="13"/>
    <n v="4700000"/>
    <n v="4079.8611111111113"/>
    <x v="1"/>
  </r>
  <r>
    <s v="P1113"/>
    <x v="7"/>
    <n v="975"/>
    <n v="2"/>
    <n v="2"/>
    <n v="14"/>
    <s v="Yes"/>
    <s v="Yes"/>
    <s v="No"/>
    <s v="Yes"/>
    <x v="0"/>
    <n v="20"/>
    <n v="24"/>
    <n v="5750000"/>
    <n v="5897.4358974358975"/>
    <x v="0"/>
  </r>
  <r>
    <s v="P1114"/>
    <x v="2"/>
    <n v="1068"/>
    <n v="3"/>
    <n v="3"/>
    <n v="20"/>
    <s v="Yes"/>
    <s v="No"/>
    <s v="No"/>
    <s v="Yes"/>
    <x v="0"/>
    <n v="7"/>
    <n v="16"/>
    <n v="5700000"/>
    <n v="5337.0786516853932"/>
    <x v="0"/>
  </r>
  <r>
    <s v="P1115"/>
    <x v="7"/>
    <n v="1628"/>
    <n v="4"/>
    <n v="4"/>
    <n v="20"/>
    <s v="Yes"/>
    <s v="Yes"/>
    <s v="No"/>
    <s v="No"/>
    <x v="1"/>
    <n v="10"/>
    <n v="21"/>
    <n v="7300000"/>
    <n v="4484.0294840294837"/>
    <x v="0"/>
  </r>
  <r>
    <s v="P1116"/>
    <x v="1"/>
    <n v="1030"/>
    <n v="2"/>
    <n v="3"/>
    <n v="21"/>
    <s v="No"/>
    <s v="Yes"/>
    <s v="No"/>
    <s v="Yes"/>
    <x v="2"/>
    <n v="2"/>
    <n v="8"/>
    <n v="3950000"/>
    <n v="3834.9514563106795"/>
    <x v="1"/>
  </r>
  <r>
    <s v="P1117"/>
    <x v="1"/>
    <n v="1195"/>
    <n v="2"/>
    <n v="2"/>
    <n v="30"/>
    <s v="Yes"/>
    <s v="No"/>
    <s v="No"/>
    <s v="Yes"/>
    <x v="0"/>
    <n v="11"/>
    <n v="20"/>
    <n v="3300000"/>
    <n v="2761.5062761506274"/>
    <x v="1"/>
  </r>
  <r>
    <s v="P1118"/>
    <x v="7"/>
    <n v="1229"/>
    <n v="2"/>
    <n v="3"/>
    <n v="0"/>
    <s v="Yes"/>
    <s v="No"/>
    <s v="No"/>
    <s v="Yes"/>
    <x v="1"/>
    <n v="20"/>
    <n v="23"/>
    <n v="7550000"/>
    <n v="6143.205858421481"/>
    <x v="0"/>
  </r>
  <r>
    <s v="P1119"/>
    <x v="6"/>
    <n v="1268"/>
    <n v="2"/>
    <n v="2"/>
    <n v="11"/>
    <s v="Yes"/>
    <s v="No"/>
    <s v="No"/>
    <s v="Yes"/>
    <x v="0"/>
    <n v="20"/>
    <n v="21"/>
    <n v="8850000"/>
    <n v="6979.4952681388013"/>
    <x v="0"/>
  </r>
  <r>
    <s v="P1120"/>
    <x v="1"/>
    <n v="1376"/>
    <n v="3"/>
    <n v="3"/>
    <n v="2"/>
    <s v="Yes"/>
    <s v="No"/>
    <s v="No"/>
    <s v="Yes"/>
    <x v="1"/>
    <n v="14"/>
    <n v="23"/>
    <n v="4700000"/>
    <n v="3415.6976744186045"/>
    <x v="1"/>
  </r>
  <r>
    <s v="P1121"/>
    <x v="2"/>
    <n v="2162"/>
    <n v="5"/>
    <n v="5"/>
    <n v="23"/>
    <s v="Yes"/>
    <s v="Yes"/>
    <s v="No"/>
    <s v="Yes"/>
    <x v="2"/>
    <n v="13"/>
    <n v="16"/>
    <n v="12800000"/>
    <n v="5920.4440333024977"/>
    <x v="2"/>
  </r>
  <r>
    <s v="P1122"/>
    <x v="4"/>
    <n v="1457"/>
    <n v="3"/>
    <n v="3"/>
    <n v="28"/>
    <s v="Yes"/>
    <s v="No"/>
    <s v="Yes"/>
    <s v="Yes"/>
    <x v="2"/>
    <n v="11"/>
    <n v="20"/>
    <n v="8350000"/>
    <n v="5730.9540150995199"/>
    <x v="0"/>
  </r>
  <r>
    <s v="P1123"/>
    <x v="1"/>
    <n v="1548"/>
    <n v="3"/>
    <n v="2"/>
    <n v="18"/>
    <s v="No"/>
    <s v="No"/>
    <s v="No"/>
    <s v="Yes"/>
    <x v="1"/>
    <n v="2"/>
    <n v="19"/>
    <n v="4850000"/>
    <n v="3133.074935400517"/>
    <x v="1"/>
  </r>
  <r>
    <s v="P1124"/>
    <x v="4"/>
    <n v="2102"/>
    <n v="5"/>
    <n v="4"/>
    <n v="10"/>
    <s v="No"/>
    <s v="Yes"/>
    <s v="No"/>
    <s v="Yes"/>
    <x v="1"/>
    <n v="6"/>
    <n v="7"/>
    <n v="10100000"/>
    <n v="4804.9476688867744"/>
    <x v="2"/>
  </r>
  <r>
    <s v="P1125"/>
    <x v="5"/>
    <n v="1022"/>
    <n v="2"/>
    <n v="3"/>
    <n v="21"/>
    <s v="Yes"/>
    <s v="Yes"/>
    <s v="No"/>
    <s v="Yes"/>
    <x v="0"/>
    <n v="15"/>
    <n v="19"/>
    <n v="8350000"/>
    <n v="8170.2544031311154"/>
    <x v="0"/>
  </r>
  <r>
    <s v="P1126"/>
    <x v="7"/>
    <n v="962"/>
    <n v="3"/>
    <n v="2"/>
    <n v="5"/>
    <s v="Yes"/>
    <s v="No"/>
    <s v="No"/>
    <s v="Yes"/>
    <x v="1"/>
    <n v="14"/>
    <n v="22"/>
    <n v="6750000"/>
    <n v="7016.6320166320165"/>
    <x v="0"/>
  </r>
  <r>
    <s v="P1127"/>
    <x v="7"/>
    <n v="1668"/>
    <n v="4"/>
    <n v="4"/>
    <n v="25"/>
    <s v="Yes"/>
    <s v="Yes"/>
    <s v="No"/>
    <s v="Yes"/>
    <x v="1"/>
    <n v="4"/>
    <n v="18"/>
    <n v="8950000"/>
    <n v="5365.7074340527579"/>
    <x v="0"/>
  </r>
  <r>
    <s v="P1128"/>
    <x v="7"/>
    <n v="1782"/>
    <n v="4"/>
    <n v="4"/>
    <n v="20"/>
    <s v="Yes"/>
    <s v="Yes"/>
    <s v="No"/>
    <s v="No"/>
    <x v="0"/>
    <n v="4"/>
    <n v="14"/>
    <n v="12600000"/>
    <n v="7070.7070707070707"/>
    <x v="2"/>
  </r>
  <r>
    <s v="P1129"/>
    <x v="7"/>
    <n v="1743"/>
    <n v="4"/>
    <n v="4"/>
    <n v="15"/>
    <s v="Yes"/>
    <s v="No"/>
    <s v="No"/>
    <s v="Yes"/>
    <x v="1"/>
    <n v="8"/>
    <n v="23"/>
    <n v="9050000"/>
    <n v="5192.19736087206"/>
    <x v="0"/>
  </r>
  <r>
    <s v="P1130"/>
    <x v="5"/>
    <n v="1159"/>
    <n v="3"/>
    <n v="2"/>
    <n v="11"/>
    <s v="Yes"/>
    <s v="Yes"/>
    <s v="No"/>
    <s v="Yes"/>
    <x v="0"/>
    <n v="10"/>
    <n v="22"/>
    <n v="10350000"/>
    <n v="8930.1121656600517"/>
    <x v="2"/>
  </r>
  <r>
    <s v="P1131"/>
    <x v="5"/>
    <n v="1135"/>
    <n v="2"/>
    <n v="1"/>
    <n v="14"/>
    <s v="No"/>
    <s v="No"/>
    <s v="No"/>
    <s v="No"/>
    <x v="2"/>
    <n v="9"/>
    <n v="18"/>
    <n v="8900000"/>
    <n v="7841.4096916299559"/>
    <x v="0"/>
  </r>
  <r>
    <s v="P1132"/>
    <x v="6"/>
    <n v="826"/>
    <n v="2"/>
    <n v="1"/>
    <n v="4"/>
    <s v="Yes"/>
    <s v="No"/>
    <s v="No"/>
    <s v="Yes"/>
    <x v="0"/>
    <n v="18"/>
    <n v="20"/>
    <n v="5850000"/>
    <n v="7082.3244552058113"/>
    <x v="0"/>
  </r>
  <r>
    <s v="P1133"/>
    <x v="2"/>
    <n v="1144"/>
    <n v="2"/>
    <n v="3"/>
    <n v="1"/>
    <s v="Yes"/>
    <s v="Yes"/>
    <s v="Yes"/>
    <s v="Yes"/>
    <x v="1"/>
    <n v="3"/>
    <n v="9"/>
    <n v="6050000"/>
    <n v="5288.4615384615381"/>
    <x v="0"/>
  </r>
  <r>
    <s v="P1134"/>
    <x v="4"/>
    <n v="1034"/>
    <n v="2"/>
    <n v="3"/>
    <n v="1"/>
    <s v="Yes"/>
    <s v="No"/>
    <s v="No"/>
    <s v="Yes"/>
    <x v="0"/>
    <n v="7"/>
    <n v="15"/>
    <n v="7500000"/>
    <n v="7253.3849129593809"/>
    <x v="0"/>
  </r>
  <r>
    <s v="P1135"/>
    <x v="6"/>
    <n v="753"/>
    <n v="2"/>
    <n v="2"/>
    <n v="6"/>
    <s v="No"/>
    <s v="Yes"/>
    <s v="No"/>
    <s v="Yes"/>
    <x v="1"/>
    <n v="9"/>
    <n v="16"/>
    <n v="5400000"/>
    <n v="7171.314741035857"/>
    <x v="0"/>
  </r>
  <r>
    <s v="P1136"/>
    <x v="6"/>
    <n v="1272"/>
    <n v="2"/>
    <n v="2"/>
    <n v="27"/>
    <s v="No"/>
    <s v="Yes"/>
    <s v="No"/>
    <s v="No"/>
    <x v="1"/>
    <n v="18"/>
    <n v="20"/>
    <n v="6650000"/>
    <n v="5227.9874213836474"/>
    <x v="0"/>
  </r>
  <r>
    <s v="P1137"/>
    <x v="1"/>
    <n v="1651"/>
    <n v="3"/>
    <n v="3"/>
    <n v="29"/>
    <s v="Yes"/>
    <s v="No"/>
    <s v="Yes"/>
    <s v="No"/>
    <x v="1"/>
    <n v="15"/>
    <n v="23"/>
    <n v="5100000"/>
    <n v="3089.036947304664"/>
    <x v="0"/>
  </r>
  <r>
    <s v="P1138"/>
    <x v="0"/>
    <n v="629"/>
    <n v="2"/>
    <n v="1"/>
    <n v="22"/>
    <s v="Yes"/>
    <s v="Yes"/>
    <s v="No"/>
    <s v="No"/>
    <x v="1"/>
    <n v="12"/>
    <n v="12"/>
    <n v="3750000"/>
    <n v="5961.8441971383145"/>
    <x v="1"/>
  </r>
  <r>
    <s v="P1139"/>
    <x v="6"/>
    <n v="1126"/>
    <n v="2"/>
    <n v="2"/>
    <n v="20"/>
    <s v="No"/>
    <s v="No"/>
    <s v="No"/>
    <s v="Yes"/>
    <x v="0"/>
    <n v="1"/>
    <n v="24"/>
    <n v="7250000"/>
    <n v="6438.7211367673181"/>
    <x v="0"/>
  </r>
  <r>
    <s v="P1140"/>
    <x v="5"/>
    <n v="1065"/>
    <n v="2"/>
    <n v="2"/>
    <n v="10"/>
    <s v="No"/>
    <s v="Yes"/>
    <s v="No"/>
    <s v="No"/>
    <x v="1"/>
    <n v="6"/>
    <n v="8"/>
    <n v="8600000"/>
    <n v="8075.1173708920187"/>
    <x v="0"/>
  </r>
  <r>
    <s v="P1141"/>
    <x v="1"/>
    <n v="2154"/>
    <n v="5"/>
    <n v="5"/>
    <n v="16"/>
    <s v="Yes"/>
    <s v="No"/>
    <s v="No"/>
    <s v="No"/>
    <x v="1"/>
    <n v="14"/>
    <n v="19"/>
    <n v="5200000"/>
    <n v="2414.113277623027"/>
    <x v="0"/>
  </r>
  <r>
    <s v="P1142"/>
    <x v="7"/>
    <n v="971"/>
    <n v="2"/>
    <n v="1"/>
    <n v="13"/>
    <s v="No"/>
    <s v="No"/>
    <s v="No"/>
    <s v="Yes"/>
    <x v="0"/>
    <n v="1"/>
    <n v="5"/>
    <n v="5750000"/>
    <n v="5921.7301750772403"/>
    <x v="0"/>
  </r>
  <r>
    <s v="P1143"/>
    <x v="0"/>
    <n v="1401"/>
    <n v="3"/>
    <n v="4"/>
    <n v="5"/>
    <s v="Yes"/>
    <s v="Yes"/>
    <s v="Yes"/>
    <s v="Yes"/>
    <x v="1"/>
    <n v="15"/>
    <n v="18"/>
    <n v="10850000"/>
    <n v="7744.4682369735901"/>
    <x v="2"/>
  </r>
  <r>
    <s v="P1144"/>
    <x v="3"/>
    <n v="2161"/>
    <n v="5"/>
    <n v="5"/>
    <n v="17"/>
    <s v="Yes"/>
    <s v="No"/>
    <s v="Yes"/>
    <s v="Yes"/>
    <x v="1"/>
    <n v="2"/>
    <n v="24"/>
    <n v="6850000"/>
    <n v="3169.828782970847"/>
    <x v="0"/>
  </r>
  <r>
    <s v="P1145"/>
    <x v="7"/>
    <n v="1226"/>
    <n v="3"/>
    <n v="3"/>
    <n v="10"/>
    <s v="No"/>
    <s v="No"/>
    <s v="No"/>
    <s v="Yes"/>
    <x v="1"/>
    <n v="9"/>
    <n v="11"/>
    <n v="6900000"/>
    <n v="5628.0587275693315"/>
    <x v="0"/>
  </r>
  <r>
    <s v="P1146"/>
    <x v="3"/>
    <n v="1148"/>
    <n v="2"/>
    <n v="2"/>
    <n v="0"/>
    <s v="Yes"/>
    <s v="No"/>
    <s v="No"/>
    <s v="Yes"/>
    <x v="1"/>
    <n v="20"/>
    <n v="24"/>
    <n v="4150000"/>
    <n v="3614.9825783972124"/>
    <x v="1"/>
  </r>
  <r>
    <s v="P1147"/>
    <x v="2"/>
    <n v="1503"/>
    <n v="4"/>
    <n v="4"/>
    <n v="6"/>
    <s v="Yes"/>
    <s v="Yes"/>
    <s v="Yes"/>
    <s v="Yes"/>
    <x v="0"/>
    <n v="5"/>
    <n v="6"/>
    <n v="8900000"/>
    <n v="5921.4903526280768"/>
    <x v="0"/>
  </r>
  <r>
    <s v="P1148"/>
    <x v="1"/>
    <n v="701"/>
    <n v="1"/>
    <n v="2"/>
    <n v="6"/>
    <s v="Yes"/>
    <s v="Yes"/>
    <s v="No"/>
    <s v="Yes"/>
    <x v="1"/>
    <n v="18"/>
    <n v="22"/>
    <n v="2700000"/>
    <n v="3851.6405135520686"/>
    <x v="1"/>
  </r>
  <r>
    <s v="P1149"/>
    <x v="3"/>
    <n v="697"/>
    <n v="2"/>
    <n v="1"/>
    <n v="19"/>
    <s v="Yes"/>
    <s v="Yes"/>
    <s v="Yes"/>
    <s v="No"/>
    <x v="1"/>
    <n v="16"/>
    <n v="17"/>
    <n v="3100000"/>
    <n v="4447.6327116212342"/>
    <x v="1"/>
  </r>
  <r>
    <s v="P1150"/>
    <x v="4"/>
    <n v="1614"/>
    <n v="3"/>
    <n v="4"/>
    <n v="12"/>
    <s v="Yes"/>
    <s v="Yes"/>
    <s v="No"/>
    <s v="No"/>
    <x v="0"/>
    <n v="2"/>
    <n v="17"/>
    <n v="8900000"/>
    <n v="5514.2503097893432"/>
    <x v="0"/>
  </r>
  <r>
    <s v="P1151"/>
    <x v="3"/>
    <n v="1855"/>
    <n v="4"/>
    <n v="4"/>
    <n v="22"/>
    <s v="Yes"/>
    <s v="No"/>
    <s v="No"/>
    <s v="Yes"/>
    <x v="1"/>
    <n v="13"/>
    <n v="15"/>
    <n v="6200000"/>
    <n v="3342.3180592991912"/>
    <x v="0"/>
  </r>
  <r>
    <s v="P1152"/>
    <x v="3"/>
    <n v="1492"/>
    <n v="3"/>
    <n v="4"/>
    <n v="18"/>
    <s v="Yes"/>
    <s v="Yes"/>
    <s v="No"/>
    <s v="Yes"/>
    <x v="0"/>
    <n v="14"/>
    <n v="17"/>
    <n v="6600000"/>
    <n v="4423.5924932975868"/>
    <x v="0"/>
  </r>
  <r>
    <s v="P1153"/>
    <x v="7"/>
    <n v="1668"/>
    <n v="4"/>
    <n v="4"/>
    <n v="4"/>
    <s v="Yes"/>
    <s v="No"/>
    <s v="Yes"/>
    <s v="Yes"/>
    <x v="2"/>
    <n v="15"/>
    <n v="15"/>
    <n v="14400000"/>
    <n v="8633.0935251798564"/>
    <x v="2"/>
  </r>
  <r>
    <s v="P1154"/>
    <x v="0"/>
    <n v="824"/>
    <n v="2"/>
    <n v="1"/>
    <n v="16"/>
    <s v="Yes"/>
    <s v="Yes"/>
    <s v="Yes"/>
    <s v="No"/>
    <x v="0"/>
    <n v="18"/>
    <n v="19"/>
    <n v="6200000"/>
    <n v="7524.2718446601939"/>
    <x v="0"/>
  </r>
  <r>
    <s v="P1155"/>
    <x v="3"/>
    <n v="1612"/>
    <n v="3"/>
    <n v="3"/>
    <n v="30"/>
    <s v="Yes"/>
    <s v="No"/>
    <s v="Yes"/>
    <s v="Yes"/>
    <x v="1"/>
    <n v="17"/>
    <n v="24"/>
    <n v="6100000"/>
    <n v="3784.1191066997517"/>
    <x v="0"/>
  </r>
  <r>
    <s v="P1156"/>
    <x v="5"/>
    <n v="660"/>
    <n v="2"/>
    <n v="2"/>
    <n v="17"/>
    <s v="No"/>
    <s v="Yes"/>
    <s v="Yes"/>
    <s v="Yes"/>
    <x v="1"/>
    <n v="14"/>
    <n v="14"/>
    <n v="5450000"/>
    <n v="8257.575757575758"/>
    <x v="0"/>
  </r>
  <r>
    <s v="P1157"/>
    <x v="4"/>
    <n v="1404"/>
    <n v="3"/>
    <n v="2"/>
    <n v="20"/>
    <s v="No"/>
    <s v="Yes"/>
    <s v="No"/>
    <s v="Yes"/>
    <x v="2"/>
    <n v="7"/>
    <n v="18"/>
    <n v="7550000"/>
    <n v="5377.4928774928776"/>
    <x v="0"/>
  </r>
  <r>
    <s v="P1158"/>
    <x v="4"/>
    <n v="1403"/>
    <n v="3"/>
    <n v="3"/>
    <n v="12"/>
    <s v="Yes"/>
    <s v="Yes"/>
    <s v="No"/>
    <s v="No"/>
    <x v="1"/>
    <n v="15"/>
    <n v="17"/>
    <n v="6050000"/>
    <n v="4312.1881682109761"/>
    <x v="0"/>
  </r>
  <r>
    <s v="P1159"/>
    <x v="0"/>
    <n v="1494"/>
    <n v="3"/>
    <n v="3"/>
    <n v="2"/>
    <s v="Yes"/>
    <s v="No"/>
    <s v="No"/>
    <s v="No"/>
    <x v="0"/>
    <n v="15"/>
    <n v="23"/>
    <n v="12750000"/>
    <n v="8534.1365461847381"/>
    <x v="2"/>
  </r>
  <r>
    <s v="P1160"/>
    <x v="4"/>
    <n v="1012"/>
    <n v="2"/>
    <n v="2"/>
    <n v="9"/>
    <s v="Yes"/>
    <s v="Yes"/>
    <s v="No"/>
    <s v="No"/>
    <x v="1"/>
    <n v="2"/>
    <n v="10"/>
    <n v="4850000"/>
    <n v="4792.490118577075"/>
    <x v="1"/>
  </r>
  <r>
    <s v="P1161"/>
    <x v="4"/>
    <n v="1208"/>
    <n v="3"/>
    <n v="3"/>
    <n v="1"/>
    <s v="No"/>
    <s v="No"/>
    <s v="No"/>
    <s v="No"/>
    <x v="0"/>
    <n v="6"/>
    <n v="24"/>
    <n v="7050000"/>
    <n v="5836.0927152317881"/>
    <x v="0"/>
  </r>
  <r>
    <s v="P1162"/>
    <x v="3"/>
    <n v="1156"/>
    <n v="2"/>
    <n v="2"/>
    <n v="2"/>
    <s v="Yes"/>
    <s v="No"/>
    <s v="Yes"/>
    <s v="Yes"/>
    <x v="1"/>
    <n v="10"/>
    <n v="15"/>
    <n v="5100000"/>
    <n v="4411.7647058823532"/>
    <x v="0"/>
  </r>
  <r>
    <s v="P1163"/>
    <x v="1"/>
    <n v="1526"/>
    <n v="3"/>
    <n v="3"/>
    <n v="28"/>
    <s v="Yes"/>
    <s v="Yes"/>
    <s v="No"/>
    <s v="Yes"/>
    <x v="1"/>
    <n v="4"/>
    <n v="5"/>
    <n v="4500000"/>
    <n v="2948.885976408912"/>
    <x v="1"/>
  </r>
  <r>
    <s v="P1164"/>
    <x v="1"/>
    <n v="1246"/>
    <n v="2"/>
    <n v="2"/>
    <n v="18"/>
    <s v="Yes"/>
    <s v="Yes"/>
    <s v="No"/>
    <s v="Yes"/>
    <x v="0"/>
    <n v="4"/>
    <n v="22"/>
    <n v="4150000"/>
    <n v="3330.6581059390046"/>
    <x v="1"/>
  </r>
  <r>
    <s v="P1165"/>
    <x v="4"/>
    <n v="898"/>
    <n v="2"/>
    <n v="1"/>
    <n v="19"/>
    <s v="Yes"/>
    <s v="No"/>
    <s v="No"/>
    <s v="Yes"/>
    <x v="1"/>
    <n v="13"/>
    <n v="13"/>
    <n v="4050000"/>
    <n v="4510.0222717149218"/>
    <x v="1"/>
  </r>
  <r>
    <s v="P1166"/>
    <x v="6"/>
    <n v="1503"/>
    <n v="3"/>
    <n v="3"/>
    <n v="25"/>
    <s v="Yes"/>
    <s v="Yes"/>
    <s v="No"/>
    <s v="Yes"/>
    <x v="0"/>
    <n v="13"/>
    <n v="23"/>
    <n v="10400000"/>
    <n v="6919.4943446440457"/>
    <x v="2"/>
  </r>
  <r>
    <s v="P1167"/>
    <x v="6"/>
    <n v="1244"/>
    <n v="3"/>
    <n v="2"/>
    <n v="4"/>
    <s v="Yes"/>
    <s v="Yes"/>
    <s v="No"/>
    <s v="Yes"/>
    <x v="1"/>
    <n v="4"/>
    <n v="10"/>
    <n v="7750000"/>
    <n v="6229.903536977492"/>
    <x v="0"/>
  </r>
  <r>
    <s v="P1168"/>
    <x v="0"/>
    <n v="1266"/>
    <n v="3"/>
    <n v="2"/>
    <n v="24"/>
    <s v="No"/>
    <s v="No"/>
    <s v="No"/>
    <s v="Yes"/>
    <x v="1"/>
    <n v="12"/>
    <n v="21"/>
    <n v="7100000"/>
    <n v="5608.2148499210107"/>
    <x v="0"/>
  </r>
  <r>
    <s v="P1169"/>
    <x v="1"/>
    <n v="857"/>
    <n v="2"/>
    <n v="2"/>
    <n v="24"/>
    <s v="No"/>
    <s v="Yes"/>
    <s v="No"/>
    <s v="Yes"/>
    <x v="1"/>
    <n v="20"/>
    <n v="21"/>
    <n v="2150000"/>
    <n v="2508.7514585764293"/>
    <x v="1"/>
  </r>
  <r>
    <s v="P1170"/>
    <x v="5"/>
    <n v="732"/>
    <n v="2"/>
    <n v="2"/>
    <n v="30"/>
    <s v="Yes"/>
    <s v="No"/>
    <s v="No"/>
    <s v="Yes"/>
    <x v="1"/>
    <n v="16"/>
    <n v="22"/>
    <n v="4300000"/>
    <n v="5874.3169398907103"/>
    <x v="1"/>
  </r>
  <r>
    <s v="P1171"/>
    <x v="3"/>
    <n v="1123"/>
    <n v="2"/>
    <n v="1"/>
    <n v="4"/>
    <s v="Yes"/>
    <s v="Yes"/>
    <s v="No"/>
    <s v="Yes"/>
    <x v="1"/>
    <n v="12"/>
    <n v="20"/>
    <n v="4550000"/>
    <n v="4051.6473731077472"/>
    <x v="1"/>
  </r>
  <r>
    <s v="P1172"/>
    <x v="3"/>
    <n v="901"/>
    <n v="2"/>
    <n v="2"/>
    <n v="21"/>
    <s v="Yes"/>
    <s v="Yes"/>
    <s v="Yes"/>
    <s v="No"/>
    <x v="1"/>
    <n v="11"/>
    <n v="19"/>
    <n v="3350000"/>
    <n v="3718.0910099889011"/>
    <x v="1"/>
  </r>
  <r>
    <s v="P1173"/>
    <x v="0"/>
    <n v="1122"/>
    <n v="3"/>
    <n v="3"/>
    <n v="1"/>
    <s v="Yes"/>
    <s v="Yes"/>
    <s v="Yes"/>
    <s v="No"/>
    <x v="0"/>
    <n v="19"/>
    <n v="23"/>
    <n v="9950000"/>
    <n v="8868.0926916221033"/>
    <x v="0"/>
  </r>
  <r>
    <s v="P1174"/>
    <x v="0"/>
    <n v="813"/>
    <n v="1"/>
    <n v="1"/>
    <n v="18"/>
    <s v="No"/>
    <s v="Yes"/>
    <s v="No"/>
    <s v="Yes"/>
    <x v="1"/>
    <n v="4"/>
    <n v="17"/>
    <n v="5200000"/>
    <n v="6396.0639606396062"/>
    <x v="0"/>
  </r>
  <r>
    <s v="P1175"/>
    <x v="2"/>
    <n v="874"/>
    <n v="2"/>
    <n v="3"/>
    <n v="13"/>
    <s v="Yes"/>
    <s v="Yes"/>
    <s v="No"/>
    <s v="Yes"/>
    <x v="1"/>
    <n v="2"/>
    <n v="4"/>
    <n v="4200000"/>
    <n v="4805.4919908466818"/>
    <x v="1"/>
  </r>
  <r>
    <s v="P1176"/>
    <x v="4"/>
    <n v="1103"/>
    <n v="2"/>
    <n v="2"/>
    <n v="24"/>
    <s v="Yes"/>
    <s v="Yes"/>
    <s v="No"/>
    <s v="Yes"/>
    <x v="1"/>
    <n v="12"/>
    <n v="21"/>
    <n v="4750000"/>
    <n v="4306.4369900271986"/>
    <x v="1"/>
  </r>
  <r>
    <s v="P1177"/>
    <x v="4"/>
    <n v="1180"/>
    <n v="3"/>
    <n v="3"/>
    <n v="8"/>
    <s v="Yes"/>
    <s v="No"/>
    <s v="No"/>
    <s v="Yes"/>
    <x v="1"/>
    <n v="20"/>
    <n v="23"/>
    <n v="5450000"/>
    <n v="4618.6440677966102"/>
    <x v="0"/>
  </r>
  <r>
    <s v="P1178"/>
    <x v="5"/>
    <n v="2207"/>
    <n v="4"/>
    <n v="4"/>
    <n v="22"/>
    <s v="Yes"/>
    <s v="No"/>
    <s v="No"/>
    <s v="Yes"/>
    <x v="1"/>
    <n v="4"/>
    <n v="9"/>
    <n v="15500000"/>
    <n v="7023.1082917988215"/>
    <x v="2"/>
  </r>
  <r>
    <s v="P1179"/>
    <x v="1"/>
    <n v="1595"/>
    <n v="4"/>
    <n v="4"/>
    <n v="0"/>
    <s v="Yes"/>
    <s v="No"/>
    <s v="No"/>
    <s v="Yes"/>
    <x v="1"/>
    <n v="4"/>
    <n v="9"/>
    <n v="6250000"/>
    <n v="3918.4952978056426"/>
    <x v="0"/>
  </r>
  <r>
    <s v="P1180"/>
    <x v="5"/>
    <n v="941"/>
    <n v="2"/>
    <n v="2"/>
    <n v="3"/>
    <s v="Yes"/>
    <s v="No"/>
    <s v="Yes"/>
    <s v="Yes"/>
    <x v="1"/>
    <n v="9"/>
    <n v="12"/>
    <n v="8300000"/>
    <n v="8820.4038257173215"/>
    <x v="0"/>
  </r>
  <r>
    <s v="P1181"/>
    <x v="1"/>
    <n v="1110"/>
    <n v="3"/>
    <n v="3"/>
    <n v="23"/>
    <s v="Yes"/>
    <s v="No"/>
    <s v="No"/>
    <s v="Yes"/>
    <x v="1"/>
    <n v="1"/>
    <n v="22"/>
    <n v="3550000"/>
    <n v="3198.198198198198"/>
    <x v="1"/>
  </r>
  <r>
    <s v="P1182"/>
    <x v="7"/>
    <n v="1187"/>
    <n v="2"/>
    <n v="2"/>
    <n v="15"/>
    <s v="Yes"/>
    <s v="No"/>
    <s v="No"/>
    <s v="No"/>
    <x v="1"/>
    <n v="3"/>
    <n v="3"/>
    <n v="7200000"/>
    <n v="6065.7118786857627"/>
    <x v="0"/>
  </r>
  <r>
    <s v="P1183"/>
    <x v="2"/>
    <n v="966"/>
    <n v="2"/>
    <n v="2"/>
    <n v="6"/>
    <s v="Yes"/>
    <s v="No"/>
    <s v="No"/>
    <s v="Yes"/>
    <x v="0"/>
    <n v="3"/>
    <n v="6"/>
    <n v="5150000"/>
    <n v="5331.2629399585921"/>
    <x v="0"/>
  </r>
  <r>
    <s v="P1184"/>
    <x v="5"/>
    <n v="1142"/>
    <n v="2"/>
    <n v="3"/>
    <n v="11"/>
    <s v="Yes"/>
    <s v="No"/>
    <s v="Yes"/>
    <s v="No"/>
    <x v="1"/>
    <n v="19"/>
    <n v="19"/>
    <n v="9200000"/>
    <n v="8056.0420315236424"/>
    <x v="0"/>
  </r>
  <r>
    <s v="P1185"/>
    <x v="1"/>
    <n v="1069"/>
    <n v="3"/>
    <n v="3"/>
    <n v="13"/>
    <s v="No"/>
    <s v="Yes"/>
    <s v="No"/>
    <s v="No"/>
    <x v="0"/>
    <n v="14"/>
    <n v="24"/>
    <n v="3350000"/>
    <n v="3133.7698783910196"/>
    <x v="1"/>
  </r>
  <r>
    <s v="P1186"/>
    <x v="2"/>
    <n v="1147"/>
    <n v="2"/>
    <n v="2"/>
    <n v="27"/>
    <s v="Yes"/>
    <s v="No"/>
    <s v="No"/>
    <s v="Yes"/>
    <x v="1"/>
    <n v="19"/>
    <n v="22"/>
    <n v="4700000"/>
    <n v="4097.646033129904"/>
    <x v="1"/>
  </r>
  <r>
    <s v="P1187"/>
    <x v="1"/>
    <n v="1009"/>
    <n v="2"/>
    <n v="2"/>
    <n v="0"/>
    <s v="Yes"/>
    <s v="Yes"/>
    <s v="No"/>
    <s v="Yes"/>
    <x v="1"/>
    <n v="14"/>
    <n v="22"/>
    <n v="3850000"/>
    <n v="3815.6590683845393"/>
    <x v="1"/>
  </r>
  <r>
    <s v="P1188"/>
    <x v="2"/>
    <n v="1921"/>
    <n v="4"/>
    <n v="4"/>
    <n v="8"/>
    <s v="No"/>
    <s v="No"/>
    <s v="No"/>
    <s v="No"/>
    <x v="1"/>
    <n v="16"/>
    <n v="18"/>
    <n v="9200000"/>
    <n v="4789.1723060905779"/>
    <x v="0"/>
  </r>
  <r>
    <s v="P1189"/>
    <x v="7"/>
    <n v="1583"/>
    <n v="4"/>
    <n v="5"/>
    <n v="28"/>
    <s v="Yes"/>
    <s v="Yes"/>
    <s v="No"/>
    <s v="Yes"/>
    <x v="2"/>
    <n v="1"/>
    <n v="9"/>
    <n v="11300000"/>
    <n v="7138.3449147188885"/>
    <x v="2"/>
  </r>
  <r>
    <s v="P1190"/>
    <x v="3"/>
    <n v="848"/>
    <n v="2"/>
    <n v="2"/>
    <n v="18"/>
    <s v="No"/>
    <s v="Yes"/>
    <s v="No"/>
    <s v="Yes"/>
    <x v="0"/>
    <n v="20"/>
    <n v="20"/>
    <n v="3200000"/>
    <n v="3773.5849056603774"/>
    <x v="1"/>
  </r>
  <r>
    <s v="P1191"/>
    <x v="3"/>
    <n v="1305"/>
    <n v="3"/>
    <n v="3"/>
    <n v="12"/>
    <s v="No"/>
    <s v="Yes"/>
    <s v="No"/>
    <s v="Yes"/>
    <x v="0"/>
    <n v="9"/>
    <n v="9"/>
    <n v="4850000"/>
    <n v="3716.4750957854408"/>
    <x v="1"/>
  </r>
  <r>
    <s v="P1192"/>
    <x v="4"/>
    <n v="945"/>
    <n v="1"/>
    <n v="1"/>
    <n v="18"/>
    <s v="Yes"/>
    <s v="No"/>
    <s v="No"/>
    <s v="Yes"/>
    <x v="0"/>
    <n v="8"/>
    <n v="21"/>
    <n v="4950000"/>
    <n v="5238.0952380952385"/>
    <x v="1"/>
  </r>
  <r>
    <s v="P1193"/>
    <x v="7"/>
    <n v="1313"/>
    <n v="3"/>
    <n v="2"/>
    <n v="13"/>
    <s v="Yes"/>
    <s v="No"/>
    <s v="No"/>
    <s v="Yes"/>
    <x v="1"/>
    <n v="7"/>
    <n v="23"/>
    <n v="7550000"/>
    <n v="5750.1904036557498"/>
    <x v="0"/>
  </r>
  <r>
    <s v="P1194"/>
    <x v="4"/>
    <n v="909"/>
    <n v="2"/>
    <n v="1"/>
    <n v="8"/>
    <s v="No"/>
    <s v="Yes"/>
    <s v="No"/>
    <s v="Yes"/>
    <x v="1"/>
    <n v="7"/>
    <n v="19"/>
    <n v="4550000"/>
    <n v="5005.5005500550051"/>
    <x v="1"/>
  </r>
  <r>
    <s v="P1195"/>
    <x v="4"/>
    <n v="2416"/>
    <n v="5"/>
    <n v="5"/>
    <n v="7"/>
    <s v="No"/>
    <s v="No"/>
    <s v="No"/>
    <s v="Yes"/>
    <x v="0"/>
    <n v="13"/>
    <n v="22"/>
    <n v="12400000"/>
    <n v="5132.4503311258277"/>
    <x v="2"/>
  </r>
  <r>
    <s v="P1196"/>
    <x v="0"/>
    <n v="1263"/>
    <n v="3"/>
    <n v="2"/>
    <n v="12"/>
    <s v="No"/>
    <s v="Yes"/>
    <s v="No"/>
    <s v="Yes"/>
    <x v="2"/>
    <n v="4"/>
    <n v="4"/>
    <n v="11600000"/>
    <n v="9184.4813935075217"/>
    <x v="2"/>
  </r>
  <r>
    <s v="P1197"/>
    <x v="0"/>
    <n v="1215"/>
    <n v="2"/>
    <n v="2"/>
    <n v="11"/>
    <s v="Yes"/>
    <s v="Yes"/>
    <s v="No"/>
    <s v="Yes"/>
    <x v="0"/>
    <n v="9"/>
    <n v="18"/>
    <n v="9650000"/>
    <n v="7942.3868312757204"/>
    <x v="0"/>
  </r>
  <r>
    <s v="P1198"/>
    <x v="5"/>
    <n v="1295"/>
    <n v="3"/>
    <n v="3"/>
    <n v="5"/>
    <s v="Yes"/>
    <s v="No"/>
    <s v="Yes"/>
    <s v="Yes"/>
    <x v="2"/>
    <n v="8"/>
    <n v="9"/>
    <n v="14500000"/>
    <n v="11196.911196911196"/>
    <x v="2"/>
  </r>
  <r>
    <s v="P1199"/>
    <x v="6"/>
    <n v="1832"/>
    <n v="3"/>
    <n v="3"/>
    <n v="25"/>
    <s v="No"/>
    <s v="No"/>
    <s v="Yes"/>
    <s v="Yes"/>
    <x v="0"/>
    <n v="6"/>
    <n v="16"/>
    <n v="11200000"/>
    <n v="6113.5371179039303"/>
    <x v="2"/>
  </r>
  <r>
    <s v="P1200"/>
    <x v="5"/>
    <n v="980"/>
    <n v="1"/>
    <n v="1"/>
    <n v="27"/>
    <s v="Yes"/>
    <s v="Yes"/>
    <s v="No"/>
    <s v="Yes"/>
    <x v="1"/>
    <n v="9"/>
    <n v="23"/>
    <n v="6350000"/>
    <n v="6479.591836734694"/>
    <x v="0"/>
  </r>
  <r>
    <s v="P1201"/>
    <x v="0"/>
    <n v="1300"/>
    <n v="3"/>
    <n v="3"/>
    <n v="27"/>
    <s v="Yes"/>
    <s v="Yes"/>
    <s v="Yes"/>
    <s v="Yes"/>
    <x v="1"/>
    <n v="4"/>
    <n v="8"/>
    <n v="8250000"/>
    <n v="6346.1538461538457"/>
    <x v="0"/>
  </r>
  <r>
    <s v="P1202"/>
    <x v="4"/>
    <n v="1758"/>
    <n v="4"/>
    <n v="4"/>
    <n v="27"/>
    <s v="Yes"/>
    <s v="Yes"/>
    <s v="No"/>
    <s v="Yes"/>
    <x v="0"/>
    <n v="17"/>
    <n v="22"/>
    <n v="8700000"/>
    <n v="4948.8054607508529"/>
    <x v="0"/>
  </r>
  <r>
    <s v="P1203"/>
    <x v="4"/>
    <n v="1322"/>
    <n v="2"/>
    <n v="2"/>
    <n v="30"/>
    <s v="Yes"/>
    <s v="Yes"/>
    <s v="No"/>
    <s v="Yes"/>
    <x v="0"/>
    <n v="3"/>
    <n v="13"/>
    <n v="7450000"/>
    <n v="5635.4009077155824"/>
    <x v="0"/>
  </r>
  <r>
    <s v="P1204"/>
    <x v="3"/>
    <n v="602"/>
    <n v="1"/>
    <n v="1"/>
    <n v="17"/>
    <s v="Yes"/>
    <s v="Yes"/>
    <s v="No"/>
    <s v="Yes"/>
    <x v="1"/>
    <n v="5"/>
    <n v="14"/>
    <n v="2100000"/>
    <n v="3488.3720930232557"/>
    <x v="1"/>
  </r>
  <r>
    <s v="P1205"/>
    <x v="2"/>
    <n v="1752"/>
    <n v="4"/>
    <n v="4"/>
    <n v="28"/>
    <s v="Yes"/>
    <s v="No"/>
    <s v="No"/>
    <s v="Yes"/>
    <x v="1"/>
    <n v="16"/>
    <n v="21"/>
    <n v="6750000"/>
    <n v="3852.7397260273974"/>
    <x v="0"/>
  </r>
  <r>
    <s v="P1206"/>
    <x v="2"/>
    <n v="1633"/>
    <n v="3"/>
    <n v="4"/>
    <n v="26"/>
    <s v="No"/>
    <s v="Yes"/>
    <s v="No"/>
    <s v="Yes"/>
    <x v="2"/>
    <n v="17"/>
    <n v="21"/>
    <n v="8800000"/>
    <n v="5388.8548683404779"/>
    <x v="0"/>
  </r>
  <r>
    <s v="P1207"/>
    <x v="1"/>
    <n v="693"/>
    <n v="2"/>
    <n v="2"/>
    <n v="27"/>
    <s v="Yes"/>
    <s v="No"/>
    <s v="Yes"/>
    <s v="No"/>
    <x v="0"/>
    <n v="4"/>
    <n v="22"/>
    <n v="2500000"/>
    <n v="3607.5036075036073"/>
    <x v="1"/>
  </r>
  <r>
    <s v="P1208"/>
    <x v="3"/>
    <n v="1715"/>
    <n v="4"/>
    <n v="3"/>
    <n v="6"/>
    <s v="Yes"/>
    <s v="Yes"/>
    <s v="No"/>
    <s v="Yes"/>
    <x v="2"/>
    <n v="19"/>
    <n v="21"/>
    <n v="10300000"/>
    <n v="6005.8309037900872"/>
    <x v="2"/>
  </r>
  <r>
    <s v="P1209"/>
    <x v="3"/>
    <n v="927"/>
    <n v="2"/>
    <n v="2"/>
    <n v="23"/>
    <s v="Yes"/>
    <s v="No"/>
    <s v="No"/>
    <s v="Yes"/>
    <x v="1"/>
    <n v="19"/>
    <n v="20"/>
    <n v="2950000"/>
    <n v="3182.3085221143474"/>
    <x v="1"/>
  </r>
  <r>
    <s v="P1210"/>
    <x v="4"/>
    <n v="1935"/>
    <n v="3"/>
    <n v="3"/>
    <n v="29"/>
    <s v="No"/>
    <s v="Yes"/>
    <s v="No"/>
    <s v="Yes"/>
    <x v="1"/>
    <n v="18"/>
    <n v="18"/>
    <n v="7300000"/>
    <n v="3772.6098191214469"/>
    <x v="0"/>
  </r>
  <r>
    <s v="P1211"/>
    <x v="7"/>
    <n v="1443"/>
    <n v="3"/>
    <n v="3"/>
    <n v="3"/>
    <s v="No"/>
    <s v="Yes"/>
    <s v="No"/>
    <s v="Yes"/>
    <x v="2"/>
    <n v="13"/>
    <n v="13"/>
    <n v="12900000"/>
    <n v="8939.7089397089403"/>
    <x v="2"/>
  </r>
  <r>
    <s v="P1212"/>
    <x v="6"/>
    <n v="1551"/>
    <n v="4"/>
    <n v="4"/>
    <n v="4"/>
    <s v="Yes"/>
    <s v="No"/>
    <s v="No"/>
    <s v="Yes"/>
    <x v="0"/>
    <n v="11"/>
    <n v="13"/>
    <n v="10800000"/>
    <n v="6963.2495164410057"/>
    <x v="2"/>
  </r>
  <r>
    <s v="P1213"/>
    <x v="1"/>
    <n v="1556"/>
    <n v="3"/>
    <n v="4"/>
    <n v="23"/>
    <s v="Yes"/>
    <s v="Yes"/>
    <s v="No"/>
    <s v="No"/>
    <x v="1"/>
    <n v="18"/>
    <n v="19"/>
    <n v="4550000"/>
    <n v="2924.1645244215938"/>
    <x v="1"/>
  </r>
  <r>
    <s v="P1214"/>
    <x v="6"/>
    <n v="930"/>
    <n v="1"/>
    <n v="1"/>
    <n v="0"/>
    <s v="Yes"/>
    <s v="Yes"/>
    <s v="No"/>
    <s v="No"/>
    <x v="1"/>
    <n v="9"/>
    <n v="23"/>
    <n v="6850000"/>
    <n v="7365.5913978494627"/>
    <x v="0"/>
  </r>
  <r>
    <s v="P1215"/>
    <x v="6"/>
    <n v="1177"/>
    <n v="3"/>
    <n v="2"/>
    <n v="3"/>
    <s v="Yes"/>
    <s v="Yes"/>
    <s v="No"/>
    <s v="Yes"/>
    <x v="0"/>
    <n v="13"/>
    <n v="14"/>
    <n v="10000000"/>
    <n v="8496.1767204757853"/>
    <x v="0"/>
  </r>
  <r>
    <s v="P1216"/>
    <x v="3"/>
    <n v="1350"/>
    <n v="3"/>
    <n v="3"/>
    <n v="9"/>
    <s v="Yes"/>
    <s v="Yes"/>
    <s v="Yes"/>
    <s v="Yes"/>
    <x v="2"/>
    <n v="15"/>
    <n v="16"/>
    <n v="7350000"/>
    <n v="5444.4444444444443"/>
    <x v="0"/>
  </r>
  <r>
    <s v="P1217"/>
    <x v="0"/>
    <n v="1060"/>
    <n v="2"/>
    <n v="2"/>
    <n v="6"/>
    <s v="Yes"/>
    <s v="No"/>
    <s v="No"/>
    <s v="Yes"/>
    <x v="1"/>
    <n v="19"/>
    <n v="19"/>
    <n v="7250000"/>
    <n v="6839.6226415094343"/>
    <x v="0"/>
  </r>
  <r>
    <s v="P1218"/>
    <x v="6"/>
    <n v="2074"/>
    <n v="4"/>
    <n v="4"/>
    <n v="19"/>
    <s v="Yes"/>
    <s v="Yes"/>
    <s v="No"/>
    <s v="Yes"/>
    <x v="1"/>
    <n v="15"/>
    <n v="20"/>
    <n v="13900000"/>
    <n v="6702.0250723240115"/>
    <x v="2"/>
  </r>
  <r>
    <s v="P1219"/>
    <x v="1"/>
    <n v="847"/>
    <n v="2"/>
    <n v="2"/>
    <n v="1"/>
    <s v="Yes"/>
    <s v="No"/>
    <s v="Yes"/>
    <s v="Yes"/>
    <x v="1"/>
    <n v="15"/>
    <n v="23"/>
    <n v="3300000"/>
    <n v="3896.1038961038962"/>
    <x v="1"/>
  </r>
  <r>
    <s v="P1220"/>
    <x v="0"/>
    <n v="1521"/>
    <n v="3"/>
    <n v="3"/>
    <n v="22"/>
    <s v="Yes"/>
    <s v="Yes"/>
    <s v="No"/>
    <s v="No"/>
    <x v="1"/>
    <n v="11"/>
    <n v="19"/>
    <n v="8700000"/>
    <n v="5719.9211045364891"/>
    <x v="0"/>
  </r>
  <r>
    <s v="P1221"/>
    <x v="6"/>
    <n v="1534"/>
    <n v="3"/>
    <n v="3"/>
    <n v="14"/>
    <s v="No"/>
    <s v="Yes"/>
    <s v="No"/>
    <s v="No"/>
    <x v="1"/>
    <n v="19"/>
    <n v="23"/>
    <n v="8750000"/>
    <n v="5704.0417209908737"/>
    <x v="0"/>
  </r>
  <r>
    <s v="P1222"/>
    <x v="6"/>
    <n v="1198"/>
    <n v="3"/>
    <n v="2"/>
    <n v="20"/>
    <s v="Yes"/>
    <s v="No"/>
    <s v="No"/>
    <s v="Yes"/>
    <x v="0"/>
    <n v="17"/>
    <n v="20"/>
    <n v="8050000"/>
    <n v="6719.5325542570954"/>
    <x v="0"/>
  </r>
  <r>
    <s v="P1223"/>
    <x v="0"/>
    <n v="1160"/>
    <n v="2"/>
    <n v="2"/>
    <n v="9"/>
    <s v="Yes"/>
    <s v="Yes"/>
    <s v="No"/>
    <s v="No"/>
    <x v="2"/>
    <n v="3"/>
    <n v="17"/>
    <n v="12050000"/>
    <n v="10387.931034482759"/>
    <x v="2"/>
  </r>
  <r>
    <s v="P1224"/>
    <x v="4"/>
    <n v="1089"/>
    <n v="2"/>
    <n v="2"/>
    <n v="3"/>
    <s v="No"/>
    <s v="Yes"/>
    <s v="No"/>
    <s v="Yes"/>
    <x v="1"/>
    <n v="1"/>
    <n v="5"/>
    <n v="5200000"/>
    <n v="4775.0229568411387"/>
    <x v="0"/>
  </r>
  <r>
    <s v="P1225"/>
    <x v="3"/>
    <n v="867"/>
    <n v="1"/>
    <n v="1"/>
    <n v="17"/>
    <s v="Yes"/>
    <s v="No"/>
    <s v="Yes"/>
    <s v="Yes"/>
    <x v="0"/>
    <n v="1"/>
    <n v="5"/>
    <n v="3400000"/>
    <n v="3921.5686274509803"/>
    <x v="1"/>
  </r>
  <r>
    <s v="P1226"/>
    <x v="3"/>
    <n v="1142"/>
    <n v="2"/>
    <n v="1"/>
    <n v="20"/>
    <s v="Yes"/>
    <s v="No"/>
    <s v="Yes"/>
    <s v="Yes"/>
    <x v="1"/>
    <n v="2"/>
    <n v="23"/>
    <n v="4350000"/>
    <n v="3809.1068301225919"/>
    <x v="1"/>
  </r>
  <r>
    <s v="P1227"/>
    <x v="6"/>
    <n v="895"/>
    <n v="2"/>
    <n v="1"/>
    <n v="11"/>
    <s v="Yes"/>
    <s v="Yes"/>
    <s v="No"/>
    <s v="No"/>
    <x v="1"/>
    <n v="6"/>
    <n v="6"/>
    <n v="6300000"/>
    <n v="7039.1061452513968"/>
    <x v="0"/>
  </r>
  <r>
    <s v="P1228"/>
    <x v="2"/>
    <n v="1128"/>
    <n v="2"/>
    <n v="1"/>
    <n v="26"/>
    <s v="Yes"/>
    <s v="Yes"/>
    <s v="No"/>
    <s v="Yes"/>
    <x v="1"/>
    <n v="5"/>
    <n v="10"/>
    <n v="4650000"/>
    <n v="4122.3404255319147"/>
    <x v="1"/>
  </r>
  <r>
    <s v="P1229"/>
    <x v="0"/>
    <n v="897"/>
    <n v="2"/>
    <n v="1"/>
    <n v="24"/>
    <s v="Yes"/>
    <s v="Yes"/>
    <s v="No"/>
    <s v="Yes"/>
    <x v="1"/>
    <n v="7"/>
    <n v="10"/>
    <n v="5900000"/>
    <n v="6577.4804905239689"/>
    <x v="0"/>
  </r>
  <r>
    <s v="P1230"/>
    <x v="0"/>
    <n v="1070"/>
    <n v="3"/>
    <n v="2"/>
    <n v="12"/>
    <s v="Yes"/>
    <s v="Yes"/>
    <s v="Yes"/>
    <s v="Yes"/>
    <x v="0"/>
    <n v="2"/>
    <n v="3"/>
    <n v="9400000"/>
    <n v="8785.0467289719618"/>
    <x v="0"/>
  </r>
  <r>
    <s v="P1231"/>
    <x v="2"/>
    <n v="803"/>
    <n v="1"/>
    <n v="1"/>
    <n v="14"/>
    <s v="Yes"/>
    <s v="No"/>
    <s v="Yes"/>
    <s v="Yes"/>
    <x v="1"/>
    <n v="7"/>
    <n v="16"/>
    <n v="3900000"/>
    <n v="4856.7870485678704"/>
    <x v="1"/>
  </r>
  <r>
    <s v="P1232"/>
    <x v="6"/>
    <n v="1512"/>
    <n v="3"/>
    <n v="4"/>
    <n v="30"/>
    <s v="Yes"/>
    <s v="Yes"/>
    <s v="No"/>
    <s v="No"/>
    <x v="0"/>
    <n v="15"/>
    <n v="23"/>
    <n v="9100000"/>
    <n v="6018.5185185185182"/>
    <x v="0"/>
  </r>
  <r>
    <s v="P1233"/>
    <x v="1"/>
    <n v="767"/>
    <n v="2"/>
    <n v="3"/>
    <n v="23"/>
    <s v="Yes"/>
    <s v="No"/>
    <s v="No"/>
    <s v="Yes"/>
    <x v="1"/>
    <n v="14"/>
    <n v="18"/>
    <n v="2250000"/>
    <n v="2933.5071707953066"/>
    <x v="1"/>
  </r>
  <r>
    <s v="P1234"/>
    <x v="1"/>
    <n v="1114"/>
    <n v="3"/>
    <n v="3"/>
    <n v="30"/>
    <s v="Yes"/>
    <s v="Yes"/>
    <s v="No"/>
    <s v="Yes"/>
    <x v="1"/>
    <n v="11"/>
    <n v="22"/>
    <n v="3350000"/>
    <n v="3007.1813285457811"/>
    <x v="1"/>
  </r>
  <r>
    <s v="P1235"/>
    <x v="6"/>
    <n v="2072"/>
    <n v="5"/>
    <n v="5"/>
    <n v="5"/>
    <s v="Yes"/>
    <s v="No"/>
    <s v="No"/>
    <s v="Yes"/>
    <x v="1"/>
    <n v="12"/>
    <n v="22"/>
    <n v="14350000"/>
    <n v="6925.6756756756758"/>
    <x v="2"/>
  </r>
  <r>
    <s v="P1236"/>
    <x v="3"/>
    <n v="1426"/>
    <n v="3"/>
    <n v="3"/>
    <n v="22"/>
    <s v="Yes"/>
    <s v="No"/>
    <s v="No"/>
    <s v="Yes"/>
    <x v="1"/>
    <n v="1"/>
    <n v="12"/>
    <n v="4600000"/>
    <n v="3225.8064516129034"/>
    <x v="1"/>
  </r>
  <r>
    <s v="P1237"/>
    <x v="0"/>
    <n v="2148"/>
    <n v="5"/>
    <n v="5"/>
    <n v="8"/>
    <s v="No"/>
    <s v="No"/>
    <s v="No"/>
    <s v="Yes"/>
    <x v="0"/>
    <n v="11"/>
    <n v="15"/>
    <n v="18100000"/>
    <n v="8426.4432029795153"/>
    <x v="2"/>
  </r>
  <r>
    <s v="P1238"/>
    <x v="4"/>
    <n v="897"/>
    <n v="2"/>
    <n v="2"/>
    <n v="28"/>
    <s v="Yes"/>
    <s v="No"/>
    <s v="Yes"/>
    <s v="Yes"/>
    <x v="0"/>
    <n v="2"/>
    <n v="20"/>
    <n v="4250000"/>
    <n v="4738.0156075808254"/>
    <x v="1"/>
  </r>
  <r>
    <s v="P1239"/>
    <x v="6"/>
    <n v="1218"/>
    <n v="3"/>
    <n v="2"/>
    <n v="29"/>
    <s v="No"/>
    <s v="No"/>
    <s v="No"/>
    <s v="Yes"/>
    <x v="1"/>
    <n v="18"/>
    <n v="22"/>
    <n v="6350000"/>
    <n v="5213.4646962233173"/>
    <x v="0"/>
  </r>
  <r>
    <s v="P1240"/>
    <x v="2"/>
    <n v="1131"/>
    <n v="3"/>
    <n v="3"/>
    <n v="25"/>
    <s v="No"/>
    <s v="No"/>
    <s v="Yes"/>
    <s v="No"/>
    <x v="1"/>
    <n v="9"/>
    <n v="17"/>
    <n v="4750000"/>
    <n v="4199.8231653404064"/>
    <x v="1"/>
  </r>
  <r>
    <s v="P1241"/>
    <x v="3"/>
    <n v="854"/>
    <n v="2"/>
    <n v="2"/>
    <n v="3"/>
    <s v="Yes"/>
    <s v="Yes"/>
    <s v="No"/>
    <s v="Yes"/>
    <x v="1"/>
    <n v="19"/>
    <n v="21"/>
    <n v="3700000"/>
    <n v="4332.5526932084313"/>
    <x v="1"/>
  </r>
  <r>
    <s v="P1242"/>
    <x v="3"/>
    <n v="1715"/>
    <n v="4"/>
    <n v="4"/>
    <n v="3"/>
    <s v="No"/>
    <s v="No"/>
    <s v="No"/>
    <s v="Yes"/>
    <x v="1"/>
    <n v="8"/>
    <n v="16"/>
    <n v="6550000"/>
    <n v="3819.2419825072884"/>
    <x v="0"/>
  </r>
  <r>
    <s v="P1243"/>
    <x v="4"/>
    <n v="1501"/>
    <n v="4"/>
    <n v="4"/>
    <n v="25"/>
    <s v="No"/>
    <s v="Yes"/>
    <s v="No"/>
    <s v="No"/>
    <x v="1"/>
    <n v="8"/>
    <n v="11"/>
    <n v="7050000"/>
    <n v="4696.868754163891"/>
    <x v="0"/>
  </r>
  <r>
    <s v="P1244"/>
    <x v="5"/>
    <n v="729"/>
    <n v="2"/>
    <n v="2"/>
    <n v="22"/>
    <s v="No"/>
    <s v="Yes"/>
    <s v="No"/>
    <s v="Yes"/>
    <x v="0"/>
    <n v="6"/>
    <n v="10"/>
    <n v="5850000"/>
    <n v="8024.691358024691"/>
    <x v="0"/>
  </r>
  <r>
    <s v="P1245"/>
    <x v="6"/>
    <n v="864"/>
    <n v="2"/>
    <n v="3"/>
    <n v="18"/>
    <s v="Yes"/>
    <s v="Yes"/>
    <s v="No"/>
    <s v="Yes"/>
    <x v="2"/>
    <n v="4"/>
    <n v="18"/>
    <n v="6750000"/>
    <n v="7812.5"/>
    <x v="0"/>
  </r>
  <r>
    <s v="P1246"/>
    <x v="6"/>
    <n v="896"/>
    <n v="2"/>
    <n v="2"/>
    <n v="24"/>
    <s v="Yes"/>
    <s v="No"/>
    <s v="No"/>
    <s v="No"/>
    <x v="0"/>
    <n v="8"/>
    <n v="24"/>
    <n v="5050000"/>
    <n v="5636.1607142857147"/>
    <x v="0"/>
  </r>
  <r>
    <s v="P1247"/>
    <x v="4"/>
    <n v="1035"/>
    <n v="3"/>
    <n v="3"/>
    <n v="9"/>
    <s v="Yes"/>
    <s v="Yes"/>
    <s v="No"/>
    <s v="Yes"/>
    <x v="1"/>
    <n v="5"/>
    <n v="10"/>
    <n v="5550000"/>
    <n v="5362.31884057971"/>
    <x v="0"/>
  </r>
  <r>
    <s v="P1248"/>
    <x v="6"/>
    <n v="1341"/>
    <n v="3"/>
    <n v="3"/>
    <n v="1"/>
    <s v="Yes"/>
    <s v="No"/>
    <s v="No"/>
    <s v="No"/>
    <x v="1"/>
    <n v="7"/>
    <n v="23"/>
    <n v="9300000"/>
    <n v="6935.1230425055928"/>
    <x v="0"/>
  </r>
  <r>
    <s v="P1249"/>
    <x v="5"/>
    <n v="1165"/>
    <n v="2"/>
    <n v="3"/>
    <n v="20"/>
    <s v="No"/>
    <s v="No"/>
    <s v="No"/>
    <s v="Yes"/>
    <x v="0"/>
    <n v="1"/>
    <n v="18"/>
    <n v="8150000"/>
    <n v="6995.7081545064375"/>
    <x v="0"/>
  </r>
  <r>
    <s v="P1250"/>
    <x v="7"/>
    <n v="1297"/>
    <n v="3"/>
    <n v="3"/>
    <n v="19"/>
    <s v="Yes"/>
    <s v="No"/>
    <s v="No"/>
    <s v="No"/>
    <x v="1"/>
    <n v="4"/>
    <n v="22"/>
    <n v="6850000"/>
    <n v="5281.4186584425597"/>
    <x v="0"/>
  </r>
  <r>
    <s v="P1251"/>
    <x v="1"/>
    <n v="1829"/>
    <n v="5"/>
    <n v="5"/>
    <n v="15"/>
    <s v="No"/>
    <s v="Yes"/>
    <s v="No"/>
    <s v="Yes"/>
    <x v="1"/>
    <n v="12"/>
    <n v="22"/>
    <n v="5550000"/>
    <n v="3034.4450519409515"/>
    <x v="0"/>
  </r>
  <r>
    <s v="P1252"/>
    <x v="7"/>
    <n v="781"/>
    <n v="2"/>
    <n v="2"/>
    <n v="21"/>
    <s v="Yes"/>
    <s v="No"/>
    <s v="No"/>
    <s v="Yes"/>
    <x v="0"/>
    <n v="3"/>
    <n v="20"/>
    <n v="5050000"/>
    <n v="6466.0691421254805"/>
    <x v="0"/>
  </r>
  <r>
    <s v="P1253"/>
    <x v="4"/>
    <n v="1283"/>
    <n v="3"/>
    <n v="3"/>
    <n v="16"/>
    <s v="Yes"/>
    <s v="Yes"/>
    <s v="Yes"/>
    <s v="Yes"/>
    <x v="2"/>
    <n v="6"/>
    <n v="6"/>
    <n v="9400000"/>
    <n v="7326.5783320342944"/>
    <x v="0"/>
  </r>
  <r>
    <s v="P1254"/>
    <x v="3"/>
    <n v="928"/>
    <n v="2"/>
    <n v="2"/>
    <n v="8"/>
    <s v="Yes"/>
    <s v="Yes"/>
    <s v="Yes"/>
    <s v="Yes"/>
    <x v="0"/>
    <n v="4"/>
    <n v="4"/>
    <n v="4450000"/>
    <n v="4795.2586206896549"/>
    <x v="1"/>
  </r>
  <r>
    <s v="P1255"/>
    <x v="3"/>
    <n v="1435"/>
    <n v="3"/>
    <n v="3"/>
    <n v="19"/>
    <s v="Yes"/>
    <s v="Yes"/>
    <s v="No"/>
    <s v="No"/>
    <x v="0"/>
    <n v="10"/>
    <n v="10"/>
    <n v="6100000"/>
    <n v="4250.8710801393727"/>
    <x v="0"/>
  </r>
  <r>
    <s v="P1256"/>
    <x v="5"/>
    <n v="1210"/>
    <n v="2"/>
    <n v="1"/>
    <n v="8"/>
    <s v="Yes"/>
    <s v="Yes"/>
    <s v="Yes"/>
    <s v="Yes"/>
    <x v="2"/>
    <n v="2"/>
    <n v="4"/>
    <n v="15150000"/>
    <n v="12520.661157024793"/>
    <x v="2"/>
  </r>
  <r>
    <s v="P1257"/>
    <x v="4"/>
    <n v="1220"/>
    <n v="3"/>
    <n v="3"/>
    <n v="28"/>
    <s v="No"/>
    <s v="Yes"/>
    <s v="No"/>
    <s v="Yes"/>
    <x v="0"/>
    <n v="19"/>
    <n v="22"/>
    <n v="5850000"/>
    <n v="4795.0819672131147"/>
    <x v="0"/>
  </r>
  <r>
    <s v="P1258"/>
    <x v="7"/>
    <n v="887"/>
    <n v="2"/>
    <n v="2"/>
    <n v="26"/>
    <s v="Yes"/>
    <s v="No"/>
    <s v="No"/>
    <s v="Yes"/>
    <x v="0"/>
    <n v="4"/>
    <n v="5"/>
    <n v="5600000"/>
    <n v="6313.4160090191654"/>
    <x v="0"/>
  </r>
  <r>
    <s v="P1259"/>
    <x v="3"/>
    <n v="1149"/>
    <n v="2"/>
    <n v="1"/>
    <n v="26"/>
    <s v="No"/>
    <s v="No"/>
    <s v="No"/>
    <s v="Yes"/>
    <x v="1"/>
    <n v="1"/>
    <n v="18"/>
    <n v="3400000"/>
    <n v="2959.0948651000872"/>
    <x v="1"/>
  </r>
  <r>
    <s v="P1260"/>
    <x v="3"/>
    <n v="1186"/>
    <n v="2"/>
    <n v="2"/>
    <n v="5"/>
    <s v="No"/>
    <s v="Yes"/>
    <s v="Yes"/>
    <s v="Yes"/>
    <x v="1"/>
    <n v="3"/>
    <n v="22"/>
    <n v="5600000"/>
    <n v="4721.7537942664421"/>
    <x v="0"/>
  </r>
  <r>
    <s v="P1261"/>
    <x v="7"/>
    <n v="1651"/>
    <n v="3"/>
    <n v="3"/>
    <n v="25"/>
    <s v="No"/>
    <s v="Yes"/>
    <s v="No"/>
    <s v="Yes"/>
    <x v="1"/>
    <n v="18"/>
    <n v="21"/>
    <n v="8200000"/>
    <n v="4966.6868564506358"/>
    <x v="0"/>
  </r>
  <r>
    <s v="P1262"/>
    <x v="3"/>
    <n v="924"/>
    <n v="2"/>
    <n v="2"/>
    <n v="15"/>
    <s v="No"/>
    <s v="Yes"/>
    <s v="No"/>
    <s v="Yes"/>
    <x v="1"/>
    <n v="1"/>
    <n v="12"/>
    <n v="3000000"/>
    <n v="3246.7532467532469"/>
    <x v="1"/>
  </r>
  <r>
    <s v="P1263"/>
    <x v="4"/>
    <n v="1701"/>
    <n v="4"/>
    <n v="4"/>
    <n v="3"/>
    <s v="No"/>
    <s v="Yes"/>
    <s v="Yes"/>
    <s v="Yes"/>
    <x v="1"/>
    <n v="1"/>
    <n v="24"/>
    <n v="10500000"/>
    <n v="6172.8395061728397"/>
    <x v="2"/>
  </r>
  <r>
    <s v="P1264"/>
    <x v="4"/>
    <n v="802"/>
    <n v="2"/>
    <n v="2"/>
    <n v="10"/>
    <s v="Yes"/>
    <s v="Yes"/>
    <s v="No"/>
    <s v="No"/>
    <x v="2"/>
    <n v="9"/>
    <n v="10"/>
    <n v="5400000"/>
    <n v="6733.1670822942642"/>
    <x v="0"/>
  </r>
  <r>
    <s v="P1265"/>
    <x v="4"/>
    <n v="1199"/>
    <n v="2"/>
    <n v="2"/>
    <n v="25"/>
    <s v="Yes"/>
    <s v="Yes"/>
    <s v="Yes"/>
    <s v="Yes"/>
    <x v="0"/>
    <n v="18"/>
    <n v="19"/>
    <n v="6050000"/>
    <n v="5045.8715596330276"/>
    <x v="0"/>
  </r>
  <r>
    <s v="P1266"/>
    <x v="0"/>
    <n v="1421"/>
    <n v="3"/>
    <n v="2"/>
    <n v="6"/>
    <s v="Yes"/>
    <s v="Yes"/>
    <s v="No"/>
    <s v="Yes"/>
    <x v="1"/>
    <n v="3"/>
    <n v="16"/>
    <n v="9300000"/>
    <n v="6544.6868402533428"/>
    <x v="0"/>
  </r>
  <r>
    <s v="P1267"/>
    <x v="1"/>
    <n v="1147"/>
    <n v="2"/>
    <n v="3"/>
    <n v="6"/>
    <s v="Yes"/>
    <s v="No"/>
    <s v="No"/>
    <s v="No"/>
    <x v="0"/>
    <n v="1"/>
    <n v="5"/>
    <n v="3850000"/>
    <n v="3356.5823888404534"/>
    <x v="1"/>
  </r>
  <r>
    <s v="P1268"/>
    <x v="2"/>
    <n v="1106"/>
    <n v="3"/>
    <n v="2"/>
    <n v="19"/>
    <s v="No"/>
    <s v="No"/>
    <s v="Yes"/>
    <s v="No"/>
    <x v="1"/>
    <n v="5"/>
    <n v="8"/>
    <n v="4150000"/>
    <n v="3752.2603978300181"/>
    <x v="1"/>
  </r>
  <r>
    <s v="P1269"/>
    <x v="1"/>
    <n v="1464"/>
    <n v="3"/>
    <n v="2"/>
    <n v="5"/>
    <s v="Yes"/>
    <s v="Yes"/>
    <s v="Yes"/>
    <s v="No"/>
    <x v="1"/>
    <n v="10"/>
    <n v="16"/>
    <n v="5750000"/>
    <n v="3927.5956284153003"/>
    <x v="0"/>
  </r>
  <r>
    <s v="P1270"/>
    <x v="6"/>
    <n v="932"/>
    <n v="3"/>
    <n v="2"/>
    <n v="13"/>
    <s v="Yes"/>
    <s v="Yes"/>
    <s v="No"/>
    <s v="Yes"/>
    <x v="1"/>
    <n v="2"/>
    <n v="6"/>
    <n v="5500000"/>
    <n v="5901.2875536480688"/>
    <x v="0"/>
  </r>
  <r>
    <s v="P1271"/>
    <x v="1"/>
    <n v="872"/>
    <n v="2"/>
    <n v="1"/>
    <n v="9"/>
    <s v="No"/>
    <s v="Yes"/>
    <s v="No"/>
    <s v="Yes"/>
    <x v="0"/>
    <n v="2"/>
    <n v="10"/>
    <n v="2850000"/>
    <n v="3268.3486238532109"/>
    <x v="1"/>
  </r>
  <r>
    <s v="P1272"/>
    <x v="5"/>
    <n v="1265"/>
    <n v="2"/>
    <n v="2"/>
    <n v="23"/>
    <s v="Yes"/>
    <s v="No"/>
    <s v="No"/>
    <s v="Yes"/>
    <x v="0"/>
    <n v="19"/>
    <n v="21"/>
    <n v="9100000"/>
    <n v="7193.675889328063"/>
    <x v="0"/>
  </r>
  <r>
    <s v="P1273"/>
    <x v="5"/>
    <n v="875"/>
    <n v="3"/>
    <n v="4"/>
    <n v="21"/>
    <s v="Yes"/>
    <s v="Yes"/>
    <s v="No"/>
    <s v="Yes"/>
    <x v="1"/>
    <n v="7"/>
    <n v="23"/>
    <n v="6350000"/>
    <n v="7257.1428571428569"/>
    <x v="0"/>
  </r>
  <r>
    <s v="P1274"/>
    <x v="0"/>
    <n v="1356"/>
    <n v="3"/>
    <n v="3"/>
    <n v="20"/>
    <s v="No"/>
    <s v="No"/>
    <s v="No"/>
    <s v="Yes"/>
    <x v="1"/>
    <n v="3"/>
    <n v="17"/>
    <n v="7200000"/>
    <n v="5309.7345132743367"/>
    <x v="0"/>
  </r>
  <r>
    <s v="P1275"/>
    <x v="3"/>
    <n v="1412"/>
    <n v="3"/>
    <n v="3"/>
    <n v="8"/>
    <s v="Yes"/>
    <s v="No"/>
    <s v="No"/>
    <s v="No"/>
    <x v="0"/>
    <n v="19"/>
    <n v="22"/>
    <n v="5800000"/>
    <n v="4107.6487252124643"/>
    <x v="0"/>
  </r>
  <r>
    <s v="P1276"/>
    <x v="7"/>
    <n v="1410"/>
    <n v="3"/>
    <n v="4"/>
    <n v="12"/>
    <s v="Yes"/>
    <s v="Yes"/>
    <s v="No"/>
    <s v="Yes"/>
    <x v="1"/>
    <n v="18"/>
    <n v="20"/>
    <n v="8350000"/>
    <n v="5921.9858156028367"/>
    <x v="0"/>
  </r>
  <r>
    <s v="P1277"/>
    <x v="4"/>
    <n v="902"/>
    <n v="1"/>
    <n v="1"/>
    <n v="14"/>
    <s v="Yes"/>
    <s v="No"/>
    <s v="Yes"/>
    <s v="Yes"/>
    <x v="1"/>
    <n v="13"/>
    <n v="18"/>
    <n v="4400000"/>
    <n v="4878.0487804878048"/>
    <x v="1"/>
  </r>
  <r>
    <s v="P1278"/>
    <x v="0"/>
    <n v="1555"/>
    <n v="4"/>
    <n v="4"/>
    <n v="21"/>
    <s v="Yes"/>
    <s v="No"/>
    <s v="No"/>
    <s v="Yes"/>
    <x v="1"/>
    <n v="20"/>
    <n v="22"/>
    <n v="9050000"/>
    <n v="5819.9356913183283"/>
    <x v="0"/>
  </r>
  <r>
    <s v="P1279"/>
    <x v="5"/>
    <n v="1806"/>
    <n v="4"/>
    <n v="4"/>
    <n v="8"/>
    <s v="Yes"/>
    <s v="No"/>
    <s v="No"/>
    <s v="Yes"/>
    <x v="1"/>
    <n v="4"/>
    <n v="11"/>
    <n v="14550000"/>
    <n v="8056.4784053156145"/>
    <x v="2"/>
  </r>
  <r>
    <s v="P1280"/>
    <x v="6"/>
    <n v="1590"/>
    <n v="3"/>
    <n v="4"/>
    <n v="19"/>
    <s v="Yes"/>
    <s v="No"/>
    <s v="No"/>
    <s v="Yes"/>
    <x v="1"/>
    <n v="7"/>
    <n v="15"/>
    <n v="8450000"/>
    <n v="5314.4654088050311"/>
    <x v="0"/>
  </r>
  <r>
    <s v="P1281"/>
    <x v="0"/>
    <n v="1465"/>
    <n v="3"/>
    <n v="2"/>
    <n v="20"/>
    <s v="Yes"/>
    <s v="No"/>
    <s v="No"/>
    <s v="Yes"/>
    <x v="2"/>
    <n v="10"/>
    <n v="21"/>
    <n v="10850000"/>
    <n v="7406.143344709898"/>
    <x v="2"/>
  </r>
  <r>
    <s v="P1282"/>
    <x v="5"/>
    <n v="1420"/>
    <n v="3"/>
    <n v="3"/>
    <n v="1"/>
    <s v="Yes"/>
    <s v="No"/>
    <s v="No"/>
    <s v="Yes"/>
    <x v="1"/>
    <n v="17"/>
    <n v="18"/>
    <n v="10650000"/>
    <n v="7500"/>
    <x v="2"/>
  </r>
  <r>
    <s v="P1283"/>
    <x v="5"/>
    <n v="1335"/>
    <n v="3"/>
    <n v="3"/>
    <n v="29"/>
    <s v="Yes"/>
    <s v="Yes"/>
    <s v="No"/>
    <s v="Yes"/>
    <x v="1"/>
    <n v="1"/>
    <n v="14"/>
    <n v="9300000"/>
    <n v="6966.2921348314603"/>
    <x v="0"/>
  </r>
  <r>
    <s v="P1284"/>
    <x v="4"/>
    <n v="1537"/>
    <n v="3"/>
    <n v="4"/>
    <n v="9"/>
    <s v="Yes"/>
    <s v="No"/>
    <s v="No"/>
    <s v="Yes"/>
    <x v="1"/>
    <n v="6"/>
    <n v="10"/>
    <n v="8000000"/>
    <n v="5204.9446974625898"/>
    <x v="0"/>
  </r>
  <r>
    <s v="P1285"/>
    <x v="2"/>
    <n v="1044"/>
    <n v="3"/>
    <n v="2"/>
    <n v="28"/>
    <s v="No"/>
    <s v="Yes"/>
    <s v="No"/>
    <s v="Yes"/>
    <x v="1"/>
    <n v="18"/>
    <n v="23"/>
    <n v="3950000"/>
    <n v="3783.5249042145592"/>
    <x v="1"/>
  </r>
  <r>
    <s v="P1286"/>
    <x v="6"/>
    <n v="2091"/>
    <n v="4"/>
    <n v="5"/>
    <n v="17"/>
    <s v="No"/>
    <s v="Yes"/>
    <s v="No"/>
    <s v="Yes"/>
    <x v="2"/>
    <n v="16"/>
    <n v="19"/>
    <n v="15950000"/>
    <n v="7627.9292204686753"/>
    <x v="2"/>
  </r>
  <r>
    <s v="P1287"/>
    <x v="2"/>
    <n v="1166"/>
    <n v="3"/>
    <n v="4"/>
    <n v="19"/>
    <s v="No"/>
    <s v="No"/>
    <s v="No"/>
    <s v="Yes"/>
    <x v="1"/>
    <n v="16"/>
    <n v="20"/>
    <n v="4500000"/>
    <n v="3859.3481989708403"/>
    <x v="1"/>
  </r>
  <r>
    <s v="P1288"/>
    <x v="7"/>
    <n v="614"/>
    <n v="1"/>
    <n v="1"/>
    <n v="22"/>
    <s v="No"/>
    <s v="No"/>
    <s v="No"/>
    <s v="Yes"/>
    <x v="1"/>
    <n v="10"/>
    <n v="12"/>
    <n v="3400000"/>
    <n v="5537.4592833876222"/>
    <x v="1"/>
  </r>
  <r>
    <s v="P1289"/>
    <x v="6"/>
    <n v="1668"/>
    <n v="3"/>
    <n v="3"/>
    <n v="10"/>
    <s v="Yes"/>
    <s v="No"/>
    <s v="No"/>
    <s v="Yes"/>
    <x v="1"/>
    <n v="2"/>
    <n v="24"/>
    <n v="10150000"/>
    <n v="6085.1318944844124"/>
    <x v="2"/>
  </r>
  <r>
    <s v="P1290"/>
    <x v="2"/>
    <n v="995"/>
    <n v="2"/>
    <n v="2"/>
    <n v="21"/>
    <s v="No"/>
    <s v="No"/>
    <s v="No"/>
    <s v="Yes"/>
    <x v="1"/>
    <n v="11"/>
    <n v="23"/>
    <n v="2950000"/>
    <n v="2964.8241206030152"/>
    <x v="1"/>
  </r>
  <r>
    <s v="P1291"/>
    <x v="5"/>
    <n v="1750"/>
    <n v="4"/>
    <n v="4"/>
    <n v="8"/>
    <s v="Yes"/>
    <s v="No"/>
    <s v="Yes"/>
    <s v="Yes"/>
    <x v="1"/>
    <n v="1"/>
    <n v="8"/>
    <n v="13000000"/>
    <n v="7428.5714285714284"/>
    <x v="2"/>
  </r>
  <r>
    <s v="P1292"/>
    <x v="2"/>
    <n v="1221"/>
    <n v="2"/>
    <n v="2"/>
    <n v="13"/>
    <s v="Yes"/>
    <s v="No"/>
    <s v="Yes"/>
    <s v="Yes"/>
    <x v="1"/>
    <n v="15"/>
    <n v="22"/>
    <n v="6050000"/>
    <n v="4954.9549549549547"/>
    <x v="0"/>
  </r>
  <r>
    <s v="P1293"/>
    <x v="1"/>
    <n v="1294"/>
    <n v="4"/>
    <n v="4"/>
    <n v="12"/>
    <s v="Yes"/>
    <s v="No"/>
    <s v="No"/>
    <s v="Yes"/>
    <x v="0"/>
    <n v="11"/>
    <n v="18"/>
    <n v="4600000"/>
    <n v="3554.8686244204018"/>
    <x v="1"/>
  </r>
  <r>
    <s v="P1294"/>
    <x v="2"/>
    <n v="654"/>
    <n v="1"/>
    <n v="2"/>
    <n v="19"/>
    <s v="No"/>
    <s v="No"/>
    <s v="No"/>
    <s v="Yes"/>
    <x v="1"/>
    <n v="13"/>
    <n v="23"/>
    <n v="2550000"/>
    <n v="3899.0825688073396"/>
    <x v="1"/>
  </r>
  <r>
    <s v="P1295"/>
    <x v="0"/>
    <n v="1095"/>
    <n v="2"/>
    <n v="1"/>
    <n v="22"/>
    <s v="Yes"/>
    <s v="No"/>
    <s v="No"/>
    <s v="Yes"/>
    <x v="0"/>
    <n v="7"/>
    <n v="18"/>
    <n v="7950000"/>
    <n v="7260.2739726027394"/>
    <x v="0"/>
  </r>
  <r>
    <s v="P1296"/>
    <x v="6"/>
    <n v="1712"/>
    <n v="4"/>
    <n v="5"/>
    <n v="17"/>
    <s v="Yes"/>
    <s v="Yes"/>
    <s v="No"/>
    <s v="Yes"/>
    <x v="0"/>
    <n v="10"/>
    <n v="13"/>
    <n v="11200000"/>
    <n v="6542.0560747663549"/>
    <x v="2"/>
  </r>
  <r>
    <s v="P1297"/>
    <x v="0"/>
    <n v="2138"/>
    <n v="5"/>
    <n v="4"/>
    <n v="23"/>
    <s v="Yes"/>
    <s v="Yes"/>
    <s v="No"/>
    <s v="Yes"/>
    <x v="1"/>
    <n v="10"/>
    <n v="16"/>
    <n v="13950000"/>
    <n v="6524.7895229186151"/>
    <x v="2"/>
  </r>
  <r>
    <s v="P1298"/>
    <x v="2"/>
    <n v="1457"/>
    <n v="3"/>
    <n v="3"/>
    <n v="30"/>
    <s v="No"/>
    <s v="Yes"/>
    <s v="No"/>
    <s v="Yes"/>
    <x v="1"/>
    <n v="2"/>
    <n v="24"/>
    <n v="5250000"/>
    <n v="3603.2944406314346"/>
    <x v="0"/>
  </r>
  <r>
    <s v="P1299"/>
    <x v="7"/>
    <n v="1622"/>
    <n v="3"/>
    <n v="4"/>
    <n v="13"/>
    <s v="Yes"/>
    <s v="Yes"/>
    <s v="Yes"/>
    <s v="No"/>
    <x v="1"/>
    <n v="1"/>
    <n v="24"/>
    <n v="10100000"/>
    <n v="6226.8803945745994"/>
    <x v="2"/>
  </r>
  <r>
    <s v="P1300"/>
    <x v="0"/>
    <n v="1594"/>
    <n v="4"/>
    <n v="4"/>
    <n v="21"/>
    <s v="Yes"/>
    <s v="No"/>
    <s v="No"/>
    <s v="Yes"/>
    <x v="1"/>
    <n v="15"/>
    <n v="24"/>
    <n v="8750000"/>
    <n v="5489.3350062735253"/>
    <x v="0"/>
  </r>
  <r>
    <s v="P1301"/>
    <x v="0"/>
    <n v="836"/>
    <n v="2"/>
    <n v="3"/>
    <n v="17"/>
    <s v="Yes"/>
    <s v="No"/>
    <s v="No"/>
    <s v="Yes"/>
    <x v="1"/>
    <n v="7"/>
    <n v="9"/>
    <n v="5150000"/>
    <n v="6160.287081339713"/>
    <x v="0"/>
  </r>
  <r>
    <s v="P1302"/>
    <x v="4"/>
    <n v="1128"/>
    <n v="2"/>
    <n v="2"/>
    <n v="7"/>
    <s v="Yes"/>
    <s v="No"/>
    <s v="Yes"/>
    <s v="Yes"/>
    <x v="1"/>
    <n v="14"/>
    <n v="19"/>
    <n v="4900000"/>
    <n v="4343.9716312056735"/>
    <x v="1"/>
  </r>
  <r>
    <s v="P1303"/>
    <x v="2"/>
    <n v="1589"/>
    <n v="4"/>
    <n v="5"/>
    <n v="5"/>
    <s v="No"/>
    <s v="Yes"/>
    <s v="No"/>
    <s v="Yes"/>
    <x v="2"/>
    <n v="2"/>
    <n v="17"/>
    <n v="10500000"/>
    <n v="6607.929515418502"/>
    <x v="2"/>
  </r>
  <r>
    <s v="P1304"/>
    <x v="1"/>
    <n v="1225"/>
    <n v="3"/>
    <n v="2"/>
    <n v="9"/>
    <s v="Yes"/>
    <s v="Yes"/>
    <s v="No"/>
    <s v="No"/>
    <x v="0"/>
    <n v="5"/>
    <n v="24"/>
    <n v="5100000"/>
    <n v="4163.2653061224491"/>
    <x v="0"/>
  </r>
  <r>
    <s v="P1305"/>
    <x v="6"/>
    <n v="985"/>
    <n v="2"/>
    <n v="3"/>
    <n v="21"/>
    <s v="No"/>
    <s v="No"/>
    <s v="No"/>
    <s v="Yes"/>
    <x v="1"/>
    <n v="20"/>
    <n v="24"/>
    <n v="5700000"/>
    <n v="5786.8020304568527"/>
    <x v="0"/>
  </r>
  <r>
    <s v="P1306"/>
    <x v="6"/>
    <n v="1344"/>
    <n v="3"/>
    <n v="4"/>
    <n v="17"/>
    <s v="No"/>
    <s v="No"/>
    <s v="No"/>
    <s v="No"/>
    <x v="1"/>
    <n v="15"/>
    <n v="21"/>
    <n v="7000000"/>
    <n v="5208.333333333333"/>
    <x v="0"/>
  </r>
  <r>
    <s v="P1307"/>
    <x v="3"/>
    <n v="1364"/>
    <n v="3"/>
    <n v="3"/>
    <n v="29"/>
    <s v="No"/>
    <s v="No"/>
    <s v="No"/>
    <s v="No"/>
    <x v="1"/>
    <n v="13"/>
    <n v="23"/>
    <n v="4150000"/>
    <n v="3042.5219941348973"/>
    <x v="1"/>
  </r>
  <r>
    <s v="P1308"/>
    <x v="3"/>
    <n v="1233"/>
    <n v="1"/>
    <n v="1"/>
    <n v="8"/>
    <s v="Yes"/>
    <s v="No"/>
    <s v="Yes"/>
    <s v="Yes"/>
    <x v="0"/>
    <n v="1"/>
    <n v="21"/>
    <n v="5700000"/>
    <n v="4622.8710462287108"/>
    <x v="0"/>
  </r>
  <r>
    <s v="P1309"/>
    <x v="6"/>
    <n v="910"/>
    <n v="2"/>
    <n v="2"/>
    <n v="14"/>
    <s v="Yes"/>
    <s v="No"/>
    <s v="No"/>
    <s v="Yes"/>
    <x v="0"/>
    <n v="12"/>
    <n v="12"/>
    <n v="6600000"/>
    <n v="7252.7472527472528"/>
    <x v="0"/>
  </r>
  <r>
    <s v="P1310"/>
    <x v="7"/>
    <n v="1394"/>
    <n v="2"/>
    <n v="2"/>
    <n v="0"/>
    <s v="Yes"/>
    <s v="No"/>
    <s v="No"/>
    <s v="No"/>
    <x v="0"/>
    <n v="6"/>
    <n v="23"/>
    <n v="10450000"/>
    <n v="7496.4131994261115"/>
    <x v="2"/>
  </r>
  <r>
    <s v="P1311"/>
    <x v="1"/>
    <n v="1639"/>
    <n v="4"/>
    <n v="3"/>
    <n v="23"/>
    <s v="Yes"/>
    <s v="No"/>
    <s v="No"/>
    <s v="No"/>
    <x v="1"/>
    <n v="17"/>
    <n v="22"/>
    <n v="4000000"/>
    <n v="2440.5125076266017"/>
    <x v="1"/>
  </r>
  <r>
    <s v="P1312"/>
    <x v="7"/>
    <n v="1109"/>
    <n v="2"/>
    <n v="3"/>
    <n v="25"/>
    <s v="No"/>
    <s v="Yes"/>
    <s v="No"/>
    <s v="Yes"/>
    <x v="1"/>
    <n v="17"/>
    <n v="17"/>
    <n v="5950000"/>
    <n v="5365.1938683498647"/>
    <x v="0"/>
  </r>
  <r>
    <s v="P1313"/>
    <x v="2"/>
    <n v="2023"/>
    <n v="5"/>
    <n v="5"/>
    <n v="23"/>
    <s v="Yes"/>
    <s v="Yes"/>
    <s v="No"/>
    <s v="No"/>
    <x v="0"/>
    <n v="12"/>
    <n v="19"/>
    <n v="9000000"/>
    <n v="4448.8383588729612"/>
    <x v="0"/>
  </r>
  <r>
    <s v="P1314"/>
    <x v="4"/>
    <n v="1660"/>
    <n v="4"/>
    <n v="4"/>
    <n v="23"/>
    <s v="Yes"/>
    <s v="Yes"/>
    <s v="No"/>
    <s v="Yes"/>
    <x v="1"/>
    <n v="2"/>
    <n v="4"/>
    <n v="7350000"/>
    <n v="4427.7108433734938"/>
    <x v="0"/>
  </r>
  <r>
    <s v="P1315"/>
    <x v="5"/>
    <n v="948"/>
    <n v="1"/>
    <n v="1"/>
    <n v="9"/>
    <s v="Yes"/>
    <s v="Yes"/>
    <s v="Yes"/>
    <s v="No"/>
    <x v="1"/>
    <n v="17"/>
    <n v="23"/>
    <n v="8450000"/>
    <n v="8913.502109704641"/>
    <x v="0"/>
  </r>
  <r>
    <s v="P1316"/>
    <x v="7"/>
    <n v="1480"/>
    <n v="3"/>
    <n v="3"/>
    <n v="17"/>
    <s v="No"/>
    <s v="No"/>
    <s v="No"/>
    <s v="Yes"/>
    <x v="1"/>
    <n v="1"/>
    <n v="23"/>
    <n v="8150000"/>
    <n v="5506.7567567567567"/>
    <x v="0"/>
  </r>
  <r>
    <s v="P1317"/>
    <x v="6"/>
    <n v="1970"/>
    <n v="4"/>
    <n v="5"/>
    <n v="21"/>
    <s v="Yes"/>
    <s v="Yes"/>
    <s v="Yes"/>
    <s v="Yes"/>
    <x v="0"/>
    <n v="14"/>
    <n v="17"/>
    <n v="13750000"/>
    <n v="6979.6954314720815"/>
    <x v="2"/>
  </r>
  <r>
    <s v="P1318"/>
    <x v="0"/>
    <n v="761"/>
    <n v="2"/>
    <n v="1"/>
    <n v="10"/>
    <s v="Yes"/>
    <s v="No"/>
    <s v="No"/>
    <s v="No"/>
    <x v="1"/>
    <n v="3"/>
    <n v="24"/>
    <n v="4600000"/>
    <n v="6044.6780551905385"/>
    <x v="1"/>
  </r>
  <r>
    <s v="P1319"/>
    <x v="4"/>
    <n v="1869"/>
    <n v="4"/>
    <n v="4"/>
    <n v="7"/>
    <s v="No"/>
    <s v="No"/>
    <s v="Yes"/>
    <s v="Yes"/>
    <x v="0"/>
    <n v="5"/>
    <n v="17"/>
    <n v="11150000"/>
    <n v="5965.7570893525954"/>
    <x v="2"/>
  </r>
  <r>
    <s v="P1320"/>
    <x v="1"/>
    <n v="876"/>
    <n v="1"/>
    <n v="1"/>
    <n v="11"/>
    <s v="No"/>
    <s v="No"/>
    <s v="No"/>
    <s v="Yes"/>
    <x v="1"/>
    <n v="9"/>
    <n v="15"/>
    <n v="3100000"/>
    <n v="3538.8127853881278"/>
    <x v="1"/>
  </r>
  <r>
    <s v="P1321"/>
    <x v="0"/>
    <n v="975"/>
    <n v="2"/>
    <n v="2"/>
    <n v="7"/>
    <s v="No"/>
    <s v="No"/>
    <s v="Yes"/>
    <s v="Yes"/>
    <x v="0"/>
    <n v="10"/>
    <n v="14"/>
    <n v="9000000"/>
    <n v="9230.7692307692305"/>
    <x v="0"/>
  </r>
  <r>
    <s v="P1322"/>
    <x v="0"/>
    <n v="1262"/>
    <n v="3"/>
    <n v="4"/>
    <n v="16"/>
    <s v="Yes"/>
    <s v="Yes"/>
    <s v="Yes"/>
    <s v="Yes"/>
    <x v="0"/>
    <n v="14"/>
    <n v="19"/>
    <n v="10400000"/>
    <n v="8240.8874801901748"/>
    <x v="2"/>
  </r>
  <r>
    <s v="P1323"/>
    <x v="7"/>
    <n v="1318"/>
    <n v="2"/>
    <n v="3"/>
    <n v="12"/>
    <s v="Yes"/>
    <s v="Yes"/>
    <s v="No"/>
    <s v="Yes"/>
    <x v="1"/>
    <n v="17"/>
    <n v="23"/>
    <n v="8250000"/>
    <n v="6259.48406676783"/>
    <x v="0"/>
  </r>
  <r>
    <s v="P1324"/>
    <x v="6"/>
    <n v="1543"/>
    <n v="4"/>
    <n v="4"/>
    <n v="17"/>
    <s v="No"/>
    <s v="No"/>
    <s v="No"/>
    <s v="Yes"/>
    <x v="0"/>
    <n v="12"/>
    <n v="18"/>
    <n v="9700000"/>
    <n v="6286.4549578742708"/>
    <x v="0"/>
  </r>
  <r>
    <s v="P1325"/>
    <x v="0"/>
    <n v="1935"/>
    <n v="4"/>
    <n v="4"/>
    <n v="19"/>
    <s v="Yes"/>
    <s v="Yes"/>
    <s v="No"/>
    <s v="No"/>
    <x v="0"/>
    <n v="17"/>
    <n v="23"/>
    <n v="15350000"/>
    <n v="7932.8165374677001"/>
    <x v="2"/>
  </r>
  <r>
    <s v="P1326"/>
    <x v="7"/>
    <n v="1662"/>
    <n v="3"/>
    <n v="3"/>
    <n v="13"/>
    <s v="Yes"/>
    <s v="Yes"/>
    <s v="No"/>
    <s v="Yes"/>
    <x v="2"/>
    <n v="16"/>
    <n v="19"/>
    <n v="12550000"/>
    <n v="7551.1432009626951"/>
    <x v="2"/>
  </r>
  <r>
    <s v="P1327"/>
    <x v="3"/>
    <n v="1077"/>
    <n v="3"/>
    <n v="3"/>
    <n v="23"/>
    <s v="No"/>
    <s v="Yes"/>
    <s v="No"/>
    <s v="No"/>
    <x v="1"/>
    <n v="7"/>
    <n v="18"/>
    <n v="3450000"/>
    <n v="3203.3426183844012"/>
    <x v="1"/>
  </r>
  <r>
    <s v="P1328"/>
    <x v="7"/>
    <n v="1001"/>
    <n v="2"/>
    <n v="2"/>
    <n v="17"/>
    <s v="Yes"/>
    <s v="Yes"/>
    <s v="No"/>
    <s v="No"/>
    <x v="1"/>
    <n v="13"/>
    <n v="19"/>
    <n v="5400000"/>
    <n v="5394.6053946053944"/>
    <x v="0"/>
  </r>
  <r>
    <s v="P1329"/>
    <x v="3"/>
    <n v="1395"/>
    <n v="4"/>
    <n v="5"/>
    <n v="22"/>
    <s v="Yes"/>
    <s v="Yes"/>
    <s v="Yes"/>
    <s v="Yes"/>
    <x v="1"/>
    <n v="9"/>
    <n v="13"/>
    <n v="4850000"/>
    <n v="3476.7025089605736"/>
    <x v="1"/>
  </r>
  <r>
    <s v="P1330"/>
    <x v="5"/>
    <n v="1275"/>
    <n v="2"/>
    <n v="2"/>
    <n v="10"/>
    <s v="No"/>
    <s v="No"/>
    <s v="No"/>
    <s v="Yes"/>
    <x v="1"/>
    <n v="5"/>
    <n v="10"/>
    <n v="9750000"/>
    <n v="7647.0588235294117"/>
    <x v="0"/>
  </r>
  <r>
    <s v="P1331"/>
    <x v="7"/>
    <n v="1317"/>
    <n v="2"/>
    <n v="2"/>
    <n v="8"/>
    <s v="Yes"/>
    <s v="No"/>
    <s v="No"/>
    <s v="Yes"/>
    <x v="2"/>
    <n v="9"/>
    <n v="17"/>
    <n v="10450000"/>
    <n v="7934.7000759301445"/>
    <x v="2"/>
  </r>
  <r>
    <s v="P1332"/>
    <x v="0"/>
    <n v="1831"/>
    <n v="4"/>
    <n v="5"/>
    <n v="29"/>
    <s v="No"/>
    <s v="Yes"/>
    <s v="No"/>
    <s v="Yes"/>
    <x v="1"/>
    <n v="10"/>
    <n v="23"/>
    <n v="8900000"/>
    <n v="4860.7318405243041"/>
    <x v="0"/>
  </r>
  <r>
    <s v="P1333"/>
    <x v="5"/>
    <n v="945"/>
    <n v="2"/>
    <n v="1"/>
    <n v="10"/>
    <s v="Yes"/>
    <s v="No"/>
    <s v="No"/>
    <s v="Yes"/>
    <x v="1"/>
    <n v="2"/>
    <n v="13"/>
    <n v="7150000"/>
    <n v="7566.137566137566"/>
    <x v="0"/>
  </r>
  <r>
    <s v="P1334"/>
    <x v="6"/>
    <n v="771"/>
    <n v="1"/>
    <n v="1"/>
    <n v="2"/>
    <s v="Yes"/>
    <s v="No"/>
    <s v="Yes"/>
    <s v="Yes"/>
    <x v="1"/>
    <n v="15"/>
    <n v="24"/>
    <n v="5550000"/>
    <n v="7198.4435797665374"/>
    <x v="0"/>
  </r>
  <r>
    <s v="P1335"/>
    <x v="2"/>
    <n v="1360"/>
    <n v="3"/>
    <n v="3"/>
    <n v="14"/>
    <s v="Yes"/>
    <s v="No"/>
    <s v="No"/>
    <s v="Yes"/>
    <x v="1"/>
    <n v="8"/>
    <n v="19"/>
    <n v="5600000"/>
    <n v="4117.6470588235297"/>
    <x v="0"/>
  </r>
  <r>
    <s v="P1336"/>
    <x v="3"/>
    <n v="1146"/>
    <n v="3"/>
    <n v="4"/>
    <n v="7"/>
    <s v="No"/>
    <s v="Yes"/>
    <s v="No"/>
    <s v="Yes"/>
    <x v="0"/>
    <n v="12"/>
    <n v="16"/>
    <n v="4450000"/>
    <n v="3883.0715532286213"/>
    <x v="1"/>
  </r>
  <r>
    <s v="P1337"/>
    <x v="1"/>
    <n v="1115"/>
    <n v="2"/>
    <n v="3"/>
    <n v="28"/>
    <s v="Yes"/>
    <s v="Yes"/>
    <s v="No"/>
    <s v="Yes"/>
    <x v="1"/>
    <n v="10"/>
    <n v="14"/>
    <n v="3500000"/>
    <n v="3139.0134529147981"/>
    <x v="1"/>
  </r>
  <r>
    <s v="P1338"/>
    <x v="4"/>
    <n v="1667"/>
    <n v="4"/>
    <n v="5"/>
    <n v="3"/>
    <s v="Yes"/>
    <s v="Yes"/>
    <s v="Yes"/>
    <s v="No"/>
    <x v="1"/>
    <n v="13"/>
    <n v="15"/>
    <n v="9200000"/>
    <n v="5518.8962207558488"/>
    <x v="0"/>
  </r>
  <r>
    <s v="P1339"/>
    <x v="0"/>
    <n v="817"/>
    <n v="2"/>
    <n v="3"/>
    <n v="14"/>
    <s v="Yes"/>
    <s v="Yes"/>
    <s v="No"/>
    <s v="Yes"/>
    <x v="0"/>
    <n v="15"/>
    <n v="23"/>
    <n v="5650000"/>
    <n v="6915.5446756425945"/>
    <x v="0"/>
  </r>
  <r>
    <s v="P1340"/>
    <x v="2"/>
    <n v="1773"/>
    <n v="4"/>
    <n v="4"/>
    <n v="10"/>
    <s v="Yes"/>
    <s v="No"/>
    <s v="No"/>
    <s v="Yes"/>
    <x v="0"/>
    <n v="10"/>
    <n v="18"/>
    <n v="8700000"/>
    <n v="4906.9373942470393"/>
    <x v="0"/>
  </r>
  <r>
    <s v="P1341"/>
    <x v="5"/>
    <n v="1158"/>
    <n v="2"/>
    <n v="2"/>
    <n v="24"/>
    <s v="Yes"/>
    <s v="No"/>
    <s v="No"/>
    <s v="Yes"/>
    <x v="1"/>
    <n v="20"/>
    <n v="21"/>
    <n v="8550000"/>
    <n v="7383.4196891191714"/>
    <x v="0"/>
  </r>
  <r>
    <s v="P1342"/>
    <x v="5"/>
    <n v="1049"/>
    <n v="3"/>
    <n v="4"/>
    <n v="10"/>
    <s v="Yes"/>
    <s v="No"/>
    <s v="Yes"/>
    <s v="No"/>
    <x v="0"/>
    <n v="17"/>
    <n v="17"/>
    <n v="9000000"/>
    <n v="8579.5996186844623"/>
    <x v="0"/>
  </r>
  <r>
    <s v="P1343"/>
    <x v="7"/>
    <n v="1169"/>
    <n v="2"/>
    <n v="2"/>
    <n v="9"/>
    <s v="No"/>
    <s v="Yes"/>
    <s v="Yes"/>
    <s v="No"/>
    <x v="2"/>
    <n v="11"/>
    <n v="21"/>
    <n v="10400000"/>
    <n v="8896.4927288280578"/>
    <x v="2"/>
  </r>
  <r>
    <s v="P1344"/>
    <x v="3"/>
    <n v="1350"/>
    <n v="2"/>
    <n v="2"/>
    <n v="15"/>
    <s v="Yes"/>
    <s v="Yes"/>
    <s v="No"/>
    <s v="Yes"/>
    <x v="1"/>
    <n v="10"/>
    <n v="21"/>
    <n v="5600000"/>
    <n v="4148.1481481481478"/>
    <x v="0"/>
  </r>
  <r>
    <s v="P1345"/>
    <x v="5"/>
    <n v="1124"/>
    <n v="3"/>
    <n v="2"/>
    <n v="21"/>
    <s v="Yes"/>
    <s v="No"/>
    <s v="No"/>
    <s v="Yes"/>
    <x v="1"/>
    <n v="9"/>
    <n v="24"/>
    <n v="8350000"/>
    <n v="7428.8256227758011"/>
    <x v="0"/>
  </r>
  <r>
    <s v="P1346"/>
    <x v="5"/>
    <n v="1274"/>
    <n v="3"/>
    <n v="3"/>
    <n v="8"/>
    <s v="Yes"/>
    <s v="No"/>
    <s v="No"/>
    <s v="Yes"/>
    <x v="1"/>
    <n v="2"/>
    <n v="2"/>
    <n v="8400000"/>
    <n v="6593.4065934065939"/>
    <x v="0"/>
  </r>
  <r>
    <s v="P1347"/>
    <x v="7"/>
    <n v="1260"/>
    <n v="2"/>
    <n v="2"/>
    <n v="1"/>
    <s v="Yes"/>
    <s v="No"/>
    <s v="No"/>
    <s v="Yes"/>
    <x v="1"/>
    <n v="10"/>
    <n v="23"/>
    <n v="8350000"/>
    <n v="6626.9841269841272"/>
    <x v="0"/>
  </r>
  <r>
    <s v="P1348"/>
    <x v="1"/>
    <n v="1018"/>
    <n v="2"/>
    <n v="2"/>
    <n v="23"/>
    <s v="No"/>
    <s v="No"/>
    <s v="No"/>
    <s v="Yes"/>
    <x v="0"/>
    <n v="4"/>
    <n v="4"/>
    <n v="3300000"/>
    <n v="3241.6502946954815"/>
    <x v="1"/>
  </r>
  <r>
    <s v="P1349"/>
    <x v="3"/>
    <n v="1901"/>
    <n v="4"/>
    <n v="4"/>
    <n v="15"/>
    <s v="Yes"/>
    <s v="No"/>
    <s v="No"/>
    <s v="Yes"/>
    <x v="0"/>
    <n v="14"/>
    <n v="19"/>
    <n v="6850000"/>
    <n v="3603.3666491320359"/>
    <x v="0"/>
  </r>
  <r>
    <s v="P1350"/>
    <x v="2"/>
    <n v="1191"/>
    <n v="3"/>
    <n v="4"/>
    <n v="11"/>
    <s v="No"/>
    <s v="Yes"/>
    <s v="No"/>
    <s v="Yes"/>
    <x v="1"/>
    <n v="20"/>
    <n v="22"/>
    <n v="5200000"/>
    <n v="4366.07892527288"/>
    <x v="0"/>
  </r>
  <r>
    <s v="P1351"/>
    <x v="1"/>
    <n v="566"/>
    <n v="1"/>
    <n v="1"/>
    <n v="21"/>
    <s v="Yes"/>
    <s v="No"/>
    <s v="No"/>
    <s v="No"/>
    <x v="1"/>
    <n v="5"/>
    <n v="13"/>
    <n v="1550000"/>
    <n v="2738.5159010600705"/>
    <x v="1"/>
  </r>
  <r>
    <s v="P1352"/>
    <x v="3"/>
    <n v="1068"/>
    <n v="3"/>
    <n v="3"/>
    <n v="24"/>
    <s v="Yes"/>
    <s v="Yes"/>
    <s v="Yes"/>
    <s v="Yes"/>
    <x v="1"/>
    <n v="7"/>
    <n v="21"/>
    <n v="4500000"/>
    <n v="4213.4831460674159"/>
    <x v="1"/>
  </r>
  <r>
    <s v="P1353"/>
    <x v="1"/>
    <n v="996"/>
    <n v="3"/>
    <n v="3"/>
    <n v="20"/>
    <s v="Yes"/>
    <s v="Yes"/>
    <s v="No"/>
    <s v="Yes"/>
    <x v="1"/>
    <n v="16"/>
    <n v="18"/>
    <n v="3150000"/>
    <n v="3162.6506024096384"/>
    <x v="1"/>
  </r>
  <r>
    <s v="P1354"/>
    <x v="6"/>
    <n v="1084"/>
    <n v="2"/>
    <n v="2"/>
    <n v="19"/>
    <s v="No"/>
    <s v="No"/>
    <s v="No"/>
    <s v="Yes"/>
    <x v="0"/>
    <n v="13"/>
    <n v="23"/>
    <n v="6300000"/>
    <n v="5811.8081180811805"/>
    <x v="0"/>
  </r>
  <r>
    <s v="P1355"/>
    <x v="3"/>
    <n v="1725"/>
    <n v="3"/>
    <n v="3"/>
    <n v="21"/>
    <s v="Yes"/>
    <s v="Yes"/>
    <s v="No"/>
    <s v="Yes"/>
    <x v="0"/>
    <n v="19"/>
    <n v="20"/>
    <n v="6200000"/>
    <n v="3594.2028985507245"/>
    <x v="0"/>
  </r>
  <r>
    <s v="P1356"/>
    <x v="0"/>
    <n v="1533"/>
    <n v="3"/>
    <n v="3"/>
    <n v="18"/>
    <s v="Yes"/>
    <s v="Yes"/>
    <s v="Yes"/>
    <s v="Yes"/>
    <x v="1"/>
    <n v="11"/>
    <n v="16"/>
    <n v="11100000"/>
    <n v="7240.7045009784733"/>
    <x v="2"/>
  </r>
  <r>
    <s v="P1357"/>
    <x v="5"/>
    <n v="1514"/>
    <n v="3"/>
    <n v="3"/>
    <n v="0"/>
    <s v="No"/>
    <s v="Yes"/>
    <s v="Yes"/>
    <s v="No"/>
    <x v="1"/>
    <n v="7"/>
    <n v="17"/>
    <n v="11600000"/>
    <n v="7661.8229854689562"/>
    <x v="2"/>
  </r>
  <r>
    <s v="P1358"/>
    <x v="0"/>
    <n v="924"/>
    <n v="2"/>
    <n v="2"/>
    <n v="18"/>
    <s v="No"/>
    <s v="Yes"/>
    <s v="No"/>
    <s v="Yes"/>
    <x v="1"/>
    <n v="20"/>
    <n v="23"/>
    <n v="6450000"/>
    <n v="6980.5194805194806"/>
    <x v="0"/>
  </r>
  <r>
    <s v="P1359"/>
    <x v="7"/>
    <n v="1472"/>
    <n v="3"/>
    <n v="3"/>
    <n v="22"/>
    <s v="No"/>
    <s v="Yes"/>
    <s v="No"/>
    <s v="Yes"/>
    <x v="2"/>
    <n v="19"/>
    <n v="19"/>
    <n v="10450000"/>
    <n v="7099.184782608696"/>
    <x v="2"/>
  </r>
  <r>
    <s v="P1360"/>
    <x v="2"/>
    <n v="592"/>
    <n v="1"/>
    <n v="1"/>
    <n v="14"/>
    <s v="Yes"/>
    <s v="No"/>
    <s v="Yes"/>
    <s v="Yes"/>
    <x v="1"/>
    <n v="20"/>
    <n v="21"/>
    <n v="2450000"/>
    <n v="4138.5135135135133"/>
    <x v="1"/>
  </r>
  <r>
    <s v="P1361"/>
    <x v="1"/>
    <n v="1490"/>
    <n v="2"/>
    <n v="1"/>
    <n v="28"/>
    <s v="Yes"/>
    <s v="No"/>
    <s v="No"/>
    <s v="Yes"/>
    <x v="1"/>
    <n v="2"/>
    <n v="5"/>
    <n v="4000000"/>
    <n v="2684.5637583892617"/>
    <x v="1"/>
  </r>
  <r>
    <s v="P1362"/>
    <x v="6"/>
    <n v="1739"/>
    <n v="3"/>
    <n v="3"/>
    <n v="8"/>
    <s v="Yes"/>
    <s v="Yes"/>
    <s v="No"/>
    <s v="Yes"/>
    <x v="0"/>
    <n v="20"/>
    <n v="22"/>
    <n v="14400000"/>
    <n v="8280.6210465784934"/>
    <x v="2"/>
  </r>
  <r>
    <s v="P1363"/>
    <x v="7"/>
    <n v="1941"/>
    <n v="4"/>
    <n v="4"/>
    <n v="30"/>
    <s v="Yes"/>
    <s v="Yes"/>
    <s v="No"/>
    <s v="Yes"/>
    <x v="1"/>
    <n v="7"/>
    <n v="15"/>
    <n v="10000000"/>
    <n v="5151.9835136527563"/>
    <x v="0"/>
  </r>
  <r>
    <s v="P1364"/>
    <x v="2"/>
    <n v="1247"/>
    <n v="2"/>
    <n v="2"/>
    <n v="17"/>
    <s v="Yes"/>
    <s v="Yes"/>
    <s v="No"/>
    <s v="Yes"/>
    <x v="1"/>
    <n v="13"/>
    <n v="18"/>
    <n v="5800000"/>
    <n v="4651.1627906976746"/>
    <x v="0"/>
  </r>
  <r>
    <s v="P1365"/>
    <x v="1"/>
    <n v="1824"/>
    <n v="3"/>
    <n v="3"/>
    <n v="4"/>
    <s v="Yes"/>
    <s v="No"/>
    <s v="Yes"/>
    <s v="Yes"/>
    <x v="0"/>
    <n v="7"/>
    <n v="15"/>
    <n v="8350000"/>
    <n v="4577.8508771929828"/>
    <x v="0"/>
  </r>
  <r>
    <s v="P1366"/>
    <x v="1"/>
    <n v="1402"/>
    <n v="4"/>
    <n v="3"/>
    <n v="1"/>
    <s v="Yes"/>
    <s v="Yes"/>
    <s v="Yes"/>
    <s v="Yes"/>
    <x v="1"/>
    <n v="11"/>
    <n v="12"/>
    <n v="6450000"/>
    <n v="4600.5706134094153"/>
    <x v="0"/>
  </r>
  <r>
    <s v="P1367"/>
    <x v="2"/>
    <n v="1808"/>
    <n v="4"/>
    <n v="4"/>
    <n v="16"/>
    <s v="Yes"/>
    <s v="Yes"/>
    <s v="Yes"/>
    <s v="No"/>
    <x v="0"/>
    <n v="10"/>
    <n v="18"/>
    <n v="10650000"/>
    <n v="5890.4867256637172"/>
    <x v="2"/>
  </r>
  <r>
    <s v="P1368"/>
    <x v="0"/>
    <n v="1007"/>
    <n v="2"/>
    <n v="2"/>
    <n v="16"/>
    <s v="Yes"/>
    <s v="Yes"/>
    <s v="Yes"/>
    <s v="Yes"/>
    <x v="1"/>
    <n v="10"/>
    <n v="14"/>
    <n v="7150000"/>
    <n v="7100.2979145978152"/>
    <x v="0"/>
  </r>
  <r>
    <s v="P1369"/>
    <x v="4"/>
    <n v="1329"/>
    <n v="3"/>
    <n v="3"/>
    <n v="14"/>
    <s v="Yes"/>
    <s v="No"/>
    <s v="Yes"/>
    <s v="Yes"/>
    <x v="0"/>
    <n v="12"/>
    <n v="17"/>
    <n v="7250000"/>
    <n v="5455.2294958615503"/>
    <x v="0"/>
  </r>
  <r>
    <s v="P1370"/>
    <x v="3"/>
    <n v="1753"/>
    <n v="4"/>
    <n v="4"/>
    <n v="20"/>
    <s v="Yes"/>
    <s v="No"/>
    <s v="No"/>
    <s v="No"/>
    <x v="2"/>
    <n v="9"/>
    <n v="20"/>
    <n v="6750000"/>
    <n v="3850.5419281232175"/>
    <x v="0"/>
  </r>
  <r>
    <s v="P1371"/>
    <x v="1"/>
    <n v="831"/>
    <n v="1"/>
    <n v="1"/>
    <n v="4"/>
    <s v="Yes"/>
    <s v="Yes"/>
    <s v="No"/>
    <s v="Yes"/>
    <x v="2"/>
    <n v="17"/>
    <n v="17"/>
    <n v="3800000"/>
    <n v="4572.8038507821902"/>
    <x v="1"/>
  </r>
  <r>
    <s v="P1372"/>
    <x v="5"/>
    <n v="1191"/>
    <n v="2"/>
    <n v="2"/>
    <n v="3"/>
    <s v="Yes"/>
    <s v="No"/>
    <s v="No"/>
    <s v="No"/>
    <x v="1"/>
    <n v="18"/>
    <n v="23"/>
    <n v="10450000"/>
    <n v="8774.1393786733843"/>
    <x v="2"/>
  </r>
  <r>
    <s v="P1373"/>
    <x v="3"/>
    <n v="849"/>
    <n v="2"/>
    <n v="2"/>
    <n v="14"/>
    <s v="Yes"/>
    <s v="No"/>
    <s v="No"/>
    <s v="Yes"/>
    <x v="1"/>
    <n v="2"/>
    <n v="17"/>
    <n v="3350000"/>
    <n v="3945.8186101295641"/>
    <x v="1"/>
  </r>
  <r>
    <s v="P1374"/>
    <x v="7"/>
    <n v="1291"/>
    <n v="3"/>
    <n v="4"/>
    <n v="21"/>
    <s v="Yes"/>
    <s v="Yes"/>
    <s v="No"/>
    <s v="Yes"/>
    <x v="2"/>
    <n v="15"/>
    <n v="16"/>
    <n v="9550000"/>
    <n v="7397.3663826491093"/>
    <x v="0"/>
  </r>
  <r>
    <s v="P1375"/>
    <x v="0"/>
    <n v="1564"/>
    <n v="3"/>
    <n v="3"/>
    <n v="13"/>
    <s v="No"/>
    <s v="Yes"/>
    <s v="No"/>
    <s v="Yes"/>
    <x v="1"/>
    <n v="19"/>
    <n v="20"/>
    <n v="9500000"/>
    <n v="6074.1687979539638"/>
    <x v="0"/>
  </r>
  <r>
    <s v="P1376"/>
    <x v="2"/>
    <n v="1120"/>
    <n v="2"/>
    <n v="2"/>
    <n v="19"/>
    <s v="No"/>
    <s v="Yes"/>
    <s v="No"/>
    <s v="Yes"/>
    <x v="0"/>
    <n v="3"/>
    <n v="10"/>
    <n v="4300000"/>
    <n v="3839.2857142857142"/>
    <x v="1"/>
  </r>
  <r>
    <s v="P1377"/>
    <x v="4"/>
    <n v="1176"/>
    <n v="3"/>
    <n v="3"/>
    <n v="13"/>
    <s v="Yes"/>
    <s v="No"/>
    <s v="No"/>
    <s v="Yes"/>
    <x v="0"/>
    <n v="9"/>
    <n v="9"/>
    <n v="7200000"/>
    <n v="6122.4489795918371"/>
    <x v="0"/>
  </r>
  <r>
    <s v="P1378"/>
    <x v="1"/>
    <n v="1482"/>
    <n v="3"/>
    <n v="3"/>
    <n v="12"/>
    <s v="Yes"/>
    <s v="No"/>
    <s v="Yes"/>
    <s v="Yes"/>
    <x v="1"/>
    <n v="13"/>
    <n v="24"/>
    <n v="6150000"/>
    <n v="4149.7975708502026"/>
    <x v="0"/>
  </r>
  <r>
    <s v="P1379"/>
    <x v="5"/>
    <n v="1966"/>
    <n v="4"/>
    <n v="4"/>
    <n v="19"/>
    <s v="Yes"/>
    <s v="Yes"/>
    <s v="No"/>
    <s v="Yes"/>
    <x v="1"/>
    <n v="8"/>
    <n v="23"/>
    <n v="13800000"/>
    <n v="7019.3285859613425"/>
    <x v="2"/>
  </r>
  <r>
    <s v="P1380"/>
    <x v="3"/>
    <n v="882"/>
    <n v="2"/>
    <n v="3"/>
    <n v="25"/>
    <s v="Yes"/>
    <s v="Yes"/>
    <s v="No"/>
    <s v="Yes"/>
    <x v="1"/>
    <n v="13"/>
    <n v="23"/>
    <n v="3100000"/>
    <n v="3514.7392290249431"/>
    <x v="1"/>
  </r>
  <r>
    <s v="P1381"/>
    <x v="1"/>
    <n v="889"/>
    <n v="2"/>
    <n v="3"/>
    <n v="17"/>
    <s v="Yes"/>
    <s v="Yes"/>
    <s v="Yes"/>
    <s v="Yes"/>
    <x v="1"/>
    <n v="1"/>
    <n v="5"/>
    <n v="3300000"/>
    <n v="3712.0359955005624"/>
    <x v="1"/>
  </r>
  <r>
    <s v="P1382"/>
    <x v="6"/>
    <n v="1442"/>
    <n v="4"/>
    <n v="4"/>
    <n v="28"/>
    <s v="No"/>
    <s v="Yes"/>
    <s v="No"/>
    <s v="No"/>
    <x v="1"/>
    <n v="1"/>
    <n v="11"/>
    <n v="8100000"/>
    <n v="5617.1983356449373"/>
    <x v="0"/>
  </r>
  <r>
    <s v="P1383"/>
    <x v="7"/>
    <n v="1144"/>
    <n v="2"/>
    <n v="2"/>
    <n v="5"/>
    <s v="Yes"/>
    <s v="Yes"/>
    <s v="No"/>
    <s v="Yes"/>
    <x v="1"/>
    <n v="10"/>
    <n v="19"/>
    <n v="6300000"/>
    <n v="5506.9930069930069"/>
    <x v="0"/>
  </r>
  <r>
    <s v="P1384"/>
    <x v="1"/>
    <n v="1571"/>
    <n v="3"/>
    <n v="3"/>
    <n v="3"/>
    <s v="Yes"/>
    <s v="No"/>
    <s v="No"/>
    <s v="No"/>
    <x v="0"/>
    <n v="16"/>
    <n v="18"/>
    <n v="5150000"/>
    <n v="3278.1667727562062"/>
    <x v="0"/>
  </r>
  <r>
    <s v="P1385"/>
    <x v="6"/>
    <n v="1382"/>
    <n v="3"/>
    <n v="3"/>
    <n v="28"/>
    <s v="No"/>
    <s v="No"/>
    <s v="No"/>
    <s v="Yes"/>
    <x v="2"/>
    <n v="8"/>
    <n v="10"/>
    <n v="9750000"/>
    <n v="7054.9927641099857"/>
    <x v="0"/>
  </r>
  <r>
    <s v="P1386"/>
    <x v="4"/>
    <n v="473"/>
    <n v="1"/>
    <n v="2"/>
    <n v="27"/>
    <s v="No"/>
    <s v="No"/>
    <s v="No"/>
    <s v="Yes"/>
    <x v="1"/>
    <n v="7"/>
    <n v="14"/>
    <n v="1750000"/>
    <n v="3699.788583509514"/>
    <x v="1"/>
  </r>
  <r>
    <s v="P1387"/>
    <x v="4"/>
    <n v="1874"/>
    <n v="4"/>
    <n v="4"/>
    <n v="24"/>
    <s v="Yes"/>
    <s v="Yes"/>
    <s v="Yes"/>
    <s v="Yes"/>
    <x v="0"/>
    <n v="13"/>
    <n v="22"/>
    <n v="11050000"/>
    <n v="5896.478121664888"/>
    <x v="2"/>
  </r>
  <r>
    <s v="P1388"/>
    <x v="0"/>
    <n v="1226"/>
    <n v="3"/>
    <n v="3"/>
    <n v="21"/>
    <s v="Yes"/>
    <s v="No"/>
    <s v="No"/>
    <s v="Yes"/>
    <x v="0"/>
    <n v="15"/>
    <n v="22"/>
    <n v="7250000"/>
    <n v="5913.5399673735728"/>
    <x v="0"/>
  </r>
  <r>
    <s v="P1389"/>
    <x v="6"/>
    <n v="1288"/>
    <n v="3"/>
    <n v="3"/>
    <n v="5"/>
    <s v="Yes"/>
    <s v="Yes"/>
    <s v="No"/>
    <s v="No"/>
    <x v="1"/>
    <n v="8"/>
    <n v="15"/>
    <n v="9000000"/>
    <n v="6987.5776397515529"/>
    <x v="0"/>
  </r>
  <r>
    <s v="P1390"/>
    <x v="5"/>
    <n v="1490"/>
    <n v="3"/>
    <n v="3"/>
    <n v="6"/>
    <s v="No"/>
    <s v="No"/>
    <s v="Yes"/>
    <s v="Yes"/>
    <x v="1"/>
    <n v="6"/>
    <n v="22"/>
    <n v="12300000"/>
    <n v="8255.0335570469797"/>
    <x v="2"/>
  </r>
  <r>
    <s v="P1391"/>
    <x v="1"/>
    <n v="1279"/>
    <n v="3"/>
    <n v="3"/>
    <n v="10"/>
    <s v="No"/>
    <s v="Yes"/>
    <s v="No"/>
    <s v="Yes"/>
    <x v="0"/>
    <n v="7"/>
    <n v="14"/>
    <n v="4750000"/>
    <n v="3713.8389366692727"/>
    <x v="1"/>
  </r>
  <r>
    <s v="P1392"/>
    <x v="7"/>
    <n v="913"/>
    <n v="2"/>
    <n v="2"/>
    <n v="21"/>
    <s v="Yes"/>
    <s v="No"/>
    <s v="Yes"/>
    <s v="Yes"/>
    <x v="2"/>
    <n v="1"/>
    <n v="17"/>
    <n v="7100000"/>
    <n v="7776.5607886089811"/>
    <x v="0"/>
  </r>
  <r>
    <s v="P1393"/>
    <x v="1"/>
    <n v="1082"/>
    <n v="2"/>
    <n v="2"/>
    <n v="17"/>
    <s v="Yes"/>
    <s v="No"/>
    <s v="No"/>
    <s v="Yes"/>
    <x v="1"/>
    <n v="16"/>
    <n v="20"/>
    <n v="3700000"/>
    <n v="3419.593345656192"/>
    <x v="1"/>
  </r>
  <r>
    <s v="P1394"/>
    <x v="4"/>
    <n v="1435"/>
    <n v="3"/>
    <n v="3"/>
    <n v="28"/>
    <s v="No"/>
    <s v="Yes"/>
    <s v="No"/>
    <s v="Yes"/>
    <x v="0"/>
    <n v="18"/>
    <n v="19"/>
    <n v="7300000"/>
    <n v="5087.1080139372825"/>
    <x v="0"/>
  </r>
  <r>
    <s v="P1395"/>
    <x v="1"/>
    <n v="991"/>
    <n v="1"/>
    <n v="1"/>
    <n v="7"/>
    <s v="Yes"/>
    <s v="No"/>
    <s v="No"/>
    <s v="Yes"/>
    <x v="2"/>
    <n v="8"/>
    <n v="24"/>
    <n v="5050000"/>
    <n v="5095.8627648839556"/>
    <x v="0"/>
  </r>
  <r>
    <s v="P1396"/>
    <x v="3"/>
    <n v="818"/>
    <n v="2"/>
    <n v="2"/>
    <n v="17"/>
    <s v="Yes"/>
    <s v="No"/>
    <s v="No"/>
    <s v="Yes"/>
    <x v="2"/>
    <n v="6"/>
    <n v="19"/>
    <n v="3750000"/>
    <n v="4584.352078239609"/>
    <x v="1"/>
  </r>
  <r>
    <s v="P1397"/>
    <x v="4"/>
    <n v="1529"/>
    <n v="3"/>
    <n v="4"/>
    <n v="28"/>
    <s v="Yes"/>
    <s v="Yes"/>
    <s v="No"/>
    <s v="No"/>
    <x v="1"/>
    <n v="18"/>
    <n v="19"/>
    <n v="7500000"/>
    <n v="4905.1667756703728"/>
    <x v="0"/>
  </r>
  <r>
    <s v="P1398"/>
    <x v="4"/>
    <n v="1569"/>
    <n v="3"/>
    <n v="3"/>
    <n v="16"/>
    <s v="No"/>
    <s v="Yes"/>
    <s v="No"/>
    <s v="Yes"/>
    <x v="1"/>
    <n v="9"/>
    <n v="13"/>
    <n v="7950000"/>
    <n v="5066.9216061185471"/>
    <x v="0"/>
  </r>
  <r>
    <s v="P1399"/>
    <x v="4"/>
    <n v="1836"/>
    <n v="4"/>
    <n v="4"/>
    <n v="22"/>
    <s v="No"/>
    <s v="No"/>
    <s v="No"/>
    <s v="Yes"/>
    <x v="1"/>
    <n v="1"/>
    <n v="2"/>
    <n v="8200000"/>
    <n v="4466.2309368191718"/>
    <x v="0"/>
  </r>
  <r>
    <s v="P1400"/>
    <x v="4"/>
    <n v="1307"/>
    <n v="2"/>
    <n v="2"/>
    <n v="27"/>
    <s v="Yes"/>
    <s v="No"/>
    <s v="No"/>
    <s v="Yes"/>
    <x v="1"/>
    <n v="2"/>
    <n v="24"/>
    <n v="4900000"/>
    <n v="3749.0436113236419"/>
    <x v="1"/>
  </r>
  <r>
    <s v="P1401"/>
    <x v="5"/>
    <n v="783"/>
    <n v="1"/>
    <n v="2"/>
    <n v="16"/>
    <s v="Yes"/>
    <s v="No"/>
    <s v="No"/>
    <s v="No"/>
    <x v="1"/>
    <n v="19"/>
    <n v="24"/>
    <n v="5250000"/>
    <n v="6704.9808429118775"/>
    <x v="0"/>
  </r>
  <r>
    <s v="P1402"/>
    <x v="5"/>
    <n v="844"/>
    <n v="1"/>
    <n v="1"/>
    <n v="13"/>
    <s v="Yes"/>
    <s v="No"/>
    <s v="No"/>
    <s v="Yes"/>
    <x v="1"/>
    <n v="9"/>
    <n v="19"/>
    <n v="5550000"/>
    <n v="6575.8293838862555"/>
    <x v="0"/>
  </r>
  <r>
    <s v="P1403"/>
    <x v="0"/>
    <n v="808"/>
    <n v="2"/>
    <n v="2"/>
    <n v="21"/>
    <s v="Yes"/>
    <s v="Yes"/>
    <s v="No"/>
    <s v="Yes"/>
    <x v="1"/>
    <n v="11"/>
    <n v="14"/>
    <n v="5250000"/>
    <n v="6497.5247524752476"/>
    <x v="0"/>
  </r>
  <r>
    <s v="P1404"/>
    <x v="1"/>
    <n v="967"/>
    <n v="2"/>
    <n v="2"/>
    <n v="17"/>
    <s v="Yes"/>
    <s v="Yes"/>
    <s v="No"/>
    <s v="Yes"/>
    <x v="1"/>
    <n v="14"/>
    <n v="21"/>
    <n v="3500000"/>
    <n v="3619.4415718717682"/>
    <x v="1"/>
  </r>
  <r>
    <s v="P1405"/>
    <x v="1"/>
    <n v="1137"/>
    <n v="2"/>
    <n v="1"/>
    <n v="28"/>
    <s v="Yes"/>
    <s v="Yes"/>
    <s v="No"/>
    <s v="Yes"/>
    <x v="0"/>
    <n v="16"/>
    <n v="21"/>
    <n v="3700000"/>
    <n v="3254.1776605101145"/>
    <x v="1"/>
  </r>
  <r>
    <s v="P1406"/>
    <x v="4"/>
    <n v="934"/>
    <n v="2"/>
    <n v="2"/>
    <n v="14"/>
    <s v="No"/>
    <s v="No"/>
    <s v="No"/>
    <s v="Yes"/>
    <x v="1"/>
    <n v="19"/>
    <n v="20"/>
    <n v="3950000"/>
    <n v="4229.1220556745184"/>
    <x v="1"/>
  </r>
  <r>
    <s v="P1407"/>
    <x v="5"/>
    <n v="1467"/>
    <n v="3"/>
    <n v="3"/>
    <n v="19"/>
    <s v="Yes"/>
    <s v="Yes"/>
    <s v="No"/>
    <s v="Yes"/>
    <x v="1"/>
    <n v="6"/>
    <n v="18"/>
    <n v="11500000"/>
    <n v="7839.1274710293119"/>
    <x v="2"/>
  </r>
  <r>
    <s v="P1408"/>
    <x v="6"/>
    <n v="1193"/>
    <n v="2"/>
    <n v="2"/>
    <n v="26"/>
    <s v="No"/>
    <s v="Yes"/>
    <s v="No"/>
    <s v="Yes"/>
    <x v="1"/>
    <n v="6"/>
    <n v="21"/>
    <n v="6800000"/>
    <n v="5699.9161777032687"/>
    <x v="0"/>
  </r>
  <r>
    <s v="P1409"/>
    <x v="1"/>
    <n v="1281"/>
    <n v="3"/>
    <n v="3"/>
    <n v="8"/>
    <s v="Yes"/>
    <s v="No"/>
    <s v="No"/>
    <s v="Yes"/>
    <x v="1"/>
    <n v="11"/>
    <n v="17"/>
    <n v="4200000"/>
    <n v="3278.688524590164"/>
    <x v="1"/>
  </r>
  <r>
    <s v="P1410"/>
    <x v="6"/>
    <n v="1103"/>
    <n v="2"/>
    <n v="2"/>
    <n v="3"/>
    <s v="Yes"/>
    <s v="Yes"/>
    <s v="No"/>
    <s v="No"/>
    <x v="1"/>
    <n v="15"/>
    <n v="24"/>
    <n v="6950000"/>
    <n v="6300.9972801450585"/>
    <x v="0"/>
  </r>
  <r>
    <s v="P1411"/>
    <x v="7"/>
    <n v="1639"/>
    <n v="3"/>
    <n v="2"/>
    <n v="27"/>
    <s v="Yes"/>
    <s v="Yes"/>
    <s v="No"/>
    <s v="Yes"/>
    <x v="0"/>
    <n v="4"/>
    <n v="21"/>
    <n v="9750000"/>
    <n v="5948.7492373398418"/>
    <x v="0"/>
  </r>
  <r>
    <s v="P1412"/>
    <x v="0"/>
    <n v="984"/>
    <n v="2"/>
    <n v="2"/>
    <n v="4"/>
    <s v="Yes"/>
    <s v="Yes"/>
    <s v="Yes"/>
    <s v="Yes"/>
    <x v="1"/>
    <n v="14"/>
    <n v="21"/>
    <n v="7650000"/>
    <n v="7774.3902439024387"/>
    <x v="0"/>
  </r>
  <r>
    <s v="P1413"/>
    <x v="6"/>
    <n v="1491"/>
    <n v="4"/>
    <n v="4"/>
    <n v="23"/>
    <s v="Yes"/>
    <s v="No"/>
    <s v="Yes"/>
    <s v="No"/>
    <x v="1"/>
    <n v="8"/>
    <n v="18"/>
    <n v="8350000"/>
    <n v="5600.2682763246139"/>
    <x v="0"/>
  </r>
  <r>
    <s v="P1414"/>
    <x v="3"/>
    <n v="1499"/>
    <n v="4"/>
    <n v="4"/>
    <n v="15"/>
    <s v="Yes"/>
    <s v="No"/>
    <s v="Yes"/>
    <s v="No"/>
    <x v="1"/>
    <n v="4"/>
    <n v="21"/>
    <n v="5600000"/>
    <n v="3735.8238825883923"/>
    <x v="0"/>
  </r>
  <r>
    <s v="P1415"/>
    <x v="7"/>
    <n v="1324"/>
    <n v="3"/>
    <n v="3"/>
    <n v="26"/>
    <s v="Yes"/>
    <s v="Yes"/>
    <s v="No"/>
    <s v="No"/>
    <x v="0"/>
    <n v="14"/>
    <n v="14"/>
    <n v="7500000"/>
    <n v="5664.6525679758306"/>
    <x v="0"/>
  </r>
  <r>
    <s v="P1416"/>
    <x v="5"/>
    <n v="1075"/>
    <n v="2"/>
    <n v="1"/>
    <n v="0"/>
    <s v="Yes"/>
    <s v="Yes"/>
    <s v="No"/>
    <s v="Yes"/>
    <x v="0"/>
    <n v="3"/>
    <n v="10"/>
    <n v="11200000"/>
    <n v="10418.60465116279"/>
    <x v="2"/>
  </r>
  <r>
    <s v="P1417"/>
    <x v="2"/>
    <n v="1427"/>
    <n v="3"/>
    <n v="3"/>
    <n v="29"/>
    <s v="Yes"/>
    <s v="Yes"/>
    <s v="Yes"/>
    <s v="Yes"/>
    <x v="0"/>
    <n v="8"/>
    <n v="14"/>
    <n v="7150000"/>
    <n v="5010.5115627189907"/>
    <x v="0"/>
  </r>
  <r>
    <s v="P1418"/>
    <x v="2"/>
    <n v="1288"/>
    <n v="3"/>
    <n v="2"/>
    <n v="13"/>
    <s v="Yes"/>
    <s v="No"/>
    <s v="No"/>
    <s v="Yes"/>
    <x v="0"/>
    <n v="20"/>
    <n v="23"/>
    <n v="6200000"/>
    <n v="4813.6645962732919"/>
    <x v="0"/>
  </r>
  <r>
    <s v="P1419"/>
    <x v="3"/>
    <n v="1520"/>
    <n v="3"/>
    <n v="3"/>
    <n v="11"/>
    <s v="Yes"/>
    <s v="No"/>
    <s v="No"/>
    <s v="Yes"/>
    <x v="1"/>
    <n v="16"/>
    <n v="19"/>
    <n v="5400000"/>
    <n v="3552.6315789473683"/>
    <x v="0"/>
  </r>
  <r>
    <s v="P1420"/>
    <x v="4"/>
    <n v="2322"/>
    <n v="5"/>
    <n v="5"/>
    <n v="27"/>
    <s v="Yes"/>
    <s v="No"/>
    <s v="No"/>
    <s v="Yes"/>
    <x v="1"/>
    <n v="8"/>
    <n v="9"/>
    <n v="10200000"/>
    <n v="4392.7648578811368"/>
    <x v="2"/>
  </r>
  <r>
    <s v="P1421"/>
    <x v="4"/>
    <n v="1354"/>
    <n v="3"/>
    <n v="3"/>
    <n v="12"/>
    <s v="No"/>
    <s v="Yes"/>
    <s v="No"/>
    <s v="No"/>
    <x v="2"/>
    <n v="19"/>
    <n v="21"/>
    <n v="9250000"/>
    <n v="6831.6100443131463"/>
    <x v="0"/>
  </r>
  <r>
    <s v="P1422"/>
    <x v="1"/>
    <n v="1846"/>
    <n v="4"/>
    <n v="5"/>
    <n v="10"/>
    <s v="Yes"/>
    <s v="No"/>
    <s v="No"/>
    <s v="Yes"/>
    <x v="1"/>
    <n v="9"/>
    <n v="23"/>
    <n v="6300000"/>
    <n v="3412.7843986998919"/>
    <x v="0"/>
  </r>
  <r>
    <s v="P1423"/>
    <x v="7"/>
    <n v="1172"/>
    <n v="2"/>
    <n v="3"/>
    <n v="5"/>
    <s v="No"/>
    <s v="No"/>
    <s v="No"/>
    <s v="No"/>
    <x v="1"/>
    <n v="14"/>
    <n v="23"/>
    <n v="7000000"/>
    <n v="5972.6962457337886"/>
    <x v="0"/>
  </r>
  <r>
    <s v="P1424"/>
    <x v="2"/>
    <n v="983"/>
    <n v="2"/>
    <n v="2"/>
    <n v="18"/>
    <s v="Yes"/>
    <s v="Yes"/>
    <s v="Yes"/>
    <s v="Yes"/>
    <x v="1"/>
    <n v="4"/>
    <n v="21"/>
    <n v="4500000"/>
    <n v="4577.8229908443536"/>
    <x v="1"/>
  </r>
  <r>
    <s v="P1425"/>
    <x v="3"/>
    <n v="820"/>
    <n v="2"/>
    <n v="2"/>
    <n v="18"/>
    <s v="Yes"/>
    <s v="Yes"/>
    <s v="Yes"/>
    <s v="Yes"/>
    <x v="1"/>
    <n v="11"/>
    <n v="22"/>
    <n v="3350000"/>
    <n v="4085.3658536585367"/>
    <x v="1"/>
  </r>
  <r>
    <s v="P1426"/>
    <x v="3"/>
    <n v="1727"/>
    <n v="4"/>
    <n v="4"/>
    <n v="13"/>
    <s v="No"/>
    <s v="No"/>
    <s v="No"/>
    <s v="Yes"/>
    <x v="0"/>
    <n v="7"/>
    <n v="13"/>
    <n v="5900000"/>
    <n v="3416.3288940359002"/>
    <x v="0"/>
  </r>
  <r>
    <s v="P1427"/>
    <x v="6"/>
    <n v="975"/>
    <n v="3"/>
    <n v="4"/>
    <n v="22"/>
    <s v="Yes"/>
    <s v="Yes"/>
    <s v="No"/>
    <s v="Yes"/>
    <x v="1"/>
    <n v="19"/>
    <n v="20"/>
    <n v="5650000"/>
    <n v="5794.8717948717949"/>
    <x v="0"/>
  </r>
  <r>
    <s v="P1428"/>
    <x v="4"/>
    <n v="1288"/>
    <n v="3"/>
    <n v="4"/>
    <n v="0"/>
    <s v="Yes"/>
    <s v="Yes"/>
    <s v="Yes"/>
    <s v="No"/>
    <x v="2"/>
    <n v="16"/>
    <n v="24"/>
    <n v="8950000"/>
    <n v="6948.7577639751553"/>
    <x v="0"/>
  </r>
  <r>
    <s v="P1429"/>
    <x v="2"/>
    <n v="2361"/>
    <n v="5"/>
    <n v="4"/>
    <n v="17"/>
    <s v="Yes"/>
    <s v="Yes"/>
    <s v="No"/>
    <s v="No"/>
    <x v="1"/>
    <n v="18"/>
    <n v="23"/>
    <n v="10150000"/>
    <n v="4299.0258365099535"/>
    <x v="2"/>
  </r>
  <r>
    <s v="P1430"/>
    <x v="1"/>
    <n v="959"/>
    <n v="2"/>
    <n v="2"/>
    <n v="16"/>
    <s v="No"/>
    <s v="No"/>
    <s v="No"/>
    <s v="Yes"/>
    <x v="1"/>
    <n v="8"/>
    <n v="11"/>
    <n v="2500000"/>
    <n v="2606.8821689259644"/>
    <x v="1"/>
  </r>
  <r>
    <s v="P1431"/>
    <x v="5"/>
    <n v="1233"/>
    <n v="3"/>
    <n v="3"/>
    <n v="15"/>
    <s v="Yes"/>
    <s v="No"/>
    <s v="Yes"/>
    <s v="Yes"/>
    <x v="0"/>
    <n v="16"/>
    <n v="20"/>
    <n v="10050000"/>
    <n v="8150.8515815085157"/>
    <x v="2"/>
  </r>
  <r>
    <s v="P1432"/>
    <x v="5"/>
    <n v="1064"/>
    <n v="2"/>
    <n v="3"/>
    <n v="25"/>
    <s v="Yes"/>
    <s v="Yes"/>
    <s v="Yes"/>
    <s v="No"/>
    <x v="1"/>
    <n v="13"/>
    <n v="17"/>
    <n v="6750000"/>
    <n v="6343.9849624060153"/>
    <x v="0"/>
  </r>
  <r>
    <s v="P1433"/>
    <x v="1"/>
    <n v="725"/>
    <n v="1"/>
    <n v="1"/>
    <n v="22"/>
    <s v="Yes"/>
    <s v="No"/>
    <s v="No"/>
    <s v="No"/>
    <x v="0"/>
    <n v="5"/>
    <n v="15"/>
    <n v="2500000"/>
    <n v="3448.2758620689656"/>
    <x v="1"/>
  </r>
  <r>
    <s v="P1434"/>
    <x v="5"/>
    <n v="1035"/>
    <n v="2"/>
    <n v="2"/>
    <n v="6"/>
    <s v="No"/>
    <s v="No"/>
    <s v="No"/>
    <s v="Yes"/>
    <x v="0"/>
    <n v="6"/>
    <n v="6"/>
    <n v="9850000"/>
    <n v="9516.9082125603873"/>
    <x v="0"/>
  </r>
  <r>
    <s v="P1435"/>
    <x v="2"/>
    <n v="1347"/>
    <n v="3"/>
    <n v="4"/>
    <n v="12"/>
    <s v="Yes"/>
    <s v="No"/>
    <s v="Yes"/>
    <s v="Yes"/>
    <x v="1"/>
    <n v="16"/>
    <n v="19"/>
    <n v="6600000"/>
    <n v="4899.7772828507796"/>
    <x v="0"/>
  </r>
  <r>
    <s v="P1436"/>
    <x v="4"/>
    <n v="450"/>
    <n v="1"/>
    <n v="1"/>
    <n v="19"/>
    <s v="Yes"/>
    <s v="No"/>
    <s v="Yes"/>
    <s v="No"/>
    <x v="1"/>
    <n v="13"/>
    <n v="19"/>
    <n v="2200000"/>
    <n v="4888.8888888888887"/>
    <x v="1"/>
  </r>
  <r>
    <s v="P1437"/>
    <x v="5"/>
    <n v="1729"/>
    <n v="4"/>
    <n v="4"/>
    <n v="0"/>
    <s v="Yes"/>
    <s v="No"/>
    <s v="No"/>
    <s v="No"/>
    <x v="1"/>
    <n v="11"/>
    <n v="19"/>
    <n v="14500000"/>
    <n v="8386.3504916136499"/>
    <x v="2"/>
  </r>
  <r>
    <s v="P1438"/>
    <x v="0"/>
    <n v="666"/>
    <n v="1"/>
    <n v="1"/>
    <n v="21"/>
    <s v="No"/>
    <s v="No"/>
    <s v="No"/>
    <s v="No"/>
    <x v="0"/>
    <n v="12"/>
    <n v="13"/>
    <n v="4100000"/>
    <n v="6156.1561561561557"/>
    <x v="1"/>
  </r>
  <r>
    <s v="P1439"/>
    <x v="2"/>
    <n v="1228"/>
    <n v="3"/>
    <n v="4"/>
    <n v="8"/>
    <s v="Yes"/>
    <s v="Yes"/>
    <s v="Yes"/>
    <s v="Yes"/>
    <x v="0"/>
    <n v="10"/>
    <n v="21"/>
    <n v="6650000"/>
    <n v="5415.3094462540721"/>
    <x v="0"/>
  </r>
  <r>
    <s v="P1440"/>
    <x v="2"/>
    <n v="1390"/>
    <n v="3"/>
    <n v="3"/>
    <n v="21"/>
    <s v="Yes"/>
    <s v="No"/>
    <s v="No"/>
    <s v="Yes"/>
    <x v="1"/>
    <n v="17"/>
    <n v="19"/>
    <n v="6150000"/>
    <n v="4424.4604316546765"/>
    <x v="0"/>
  </r>
  <r>
    <s v="P1441"/>
    <x v="6"/>
    <n v="1242"/>
    <n v="2"/>
    <n v="1"/>
    <n v="30"/>
    <s v="Yes"/>
    <s v="No"/>
    <s v="No"/>
    <s v="Yes"/>
    <x v="1"/>
    <n v="17"/>
    <n v="20"/>
    <n v="7200000"/>
    <n v="5797.101449275362"/>
    <x v="0"/>
  </r>
  <r>
    <s v="P1442"/>
    <x v="5"/>
    <n v="1076"/>
    <n v="3"/>
    <n v="3"/>
    <n v="11"/>
    <s v="Yes"/>
    <s v="No"/>
    <s v="No"/>
    <s v="No"/>
    <x v="1"/>
    <n v="18"/>
    <n v="24"/>
    <n v="6400000"/>
    <n v="5947.9553903345723"/>
    <x v="0"/>
  </r>
  <r>
    <s v="P1443"/>
    <x v="2"/>
    <n v="1305"/>
    <n v="3"/>
    <n v="3"/>
    <n v="22"/>
    <s v="Yes"/>
    <s v="Yes"/>
    <s v="No"/>
    <s v="Yes"/>
    <x v="1"/>
    <n v="15"/>
    <n v="15"/>
    <n v="5750000"/>
    <n v="4406.1302681992338"/>
    <x v="0"/>
  </r>
  <r>
    <s v="P1444"/>
    <x v="5"/>
    <n v="1296"/>
    <n v="3"/>
    <n v="4"/>
    <n v="3"/>
    <s v="Yes"/>
    <s v="No"/>
    <s v="Yes"/>
    <s v="Yes"/>
    <x v="0"/>
    <n v="4"/>
    <n v="5"/>
    <n v="12300000"/>
    <n v="9490.7407407407409"/>
    <x v="2"/>
  </r>
  <r>
    <s v="P1445"/>
    <x v="5"/>
    <n v="2080"/>
    <n v="5"/>
    <n v="5"/>
    <n v="25"/>
    <s v="Yes"/>
    <s v="No"/>
    <s v="No"/>
    <s v="Yes"/>
    <x v="1"/>
    <n v="8"/>
    <n v="8"/>
    <n v="13800000"/>
    <n v="6634.6153846153848"/>
    <x v="2"/>
  </r>
  <r>
    <s v="P1446"/>
    <x v="2"/>
    <n v="1471"/>
    <n v="3"/>
    <n v="4"/>
    <n v="10"/>
    <s v="Yes"/>
    <s v="No"/>
    <s v="Yes"/>
    <s v="Yes"/>
    <x v="2"/>
    <n v="1"/>
    <n v="12"/>
    <n v="9650000"/>
    <n v="6560.1631543167914"/>
    <x v="0"/>
  </r>
  <r>
    <s v="P1447"/>
    <x v="6"/>
    <n v="994"/>
    <n v="2"/>
    <n v="1"/>
    <n v="20"/>
    <s v="No"/>
    <s v="Yes"/>
    <s v="No"/>
    <s v="Yes"/>
    <x v="2"/>
    <n v="6"/>
    <n v="10"/>
    <n v="8300000"/>
    <n v="8350.1006036217295"/>
    <x v="0"/>
  </r>
  <r>
    <s v="P1448"/>
    <x v="4"/>
    <n v="928"/>
    <n v="2"/>
    <n v="1"/>
    <n v="0"/>
    <s v="Yes"/>
    <s v="No"/>
    <s v="No"/>
    <s v="Yes"/>
    <x v="1"/>
    <n v="13"/>
    <n v="18"/>
    <n v="4400000"/>
    <n v="4741.3793103448279"/>
    <x v="1"/>
  </r>
  <r>
    <s v="P1449"/>
    <x v="3"/>
    <n v="1035"/>
    <n v="2"/>
    <n v="3"/>
    <n v="15"/>
    <s v="No"/>
    <s v="Yes"/>
    <s v="No"/>
    <s v="No"/>
    <x v="1"/>
    <n v="17"/>
    <n v="21"/>
    <n v="3750000"/>
    <n v="3623.1884057971015"/>
    <x v="1"/>
  </r>
  <r>
    <s v="P1450"/>
    <x v="5"/>
    <n v="1358"/>
    <n v="3"/>
    <n v="3"/>
    <n v="16"/>
    <s v="Yes"/>
    <s v="Yes"/>
    <s v="No"/>
    <s v="Yes"/>
    <x v="2"/>
    <n v="5"/>
    <n v="11"/>
    <n v="14550000"/>
    <n v="10714.285714285714"/>
    <x v="2"/>
  </r>
  <r>
    <s v="P1451"/>
    <x v="5"/>
    <n v="1336"/>
    <n v="3"/>
    <n v="2"/>
    <n v="23"/>
    <s v="Yes"/>
    <s v="Yes"/>
    <s v="No"/>
    <s v="Yes"/>
    <x v="1"/>
    <n v="17"/>
    <n v="22"/>
    <n v="9350000"/>
    <n v="6998.5029940119757"/>
    <x v="0"/>
  </r>
  <r>
    <s v="P1452"/>
    <x v="4"/>
    <n v="646"/>
    <n v="1"/>
    <n v="1"/>
    <n v="14"/>
    <s v="Yes"/>
    <s v="Yes"/>
    <s v="No"/>
    <s v="Yes"/>
    <x v="0"/>
    <n v="13"/>
    <n v="24"/>
    <n v="3100000"/>
    <n v="4798.7616099071211"/>
    <x v="1"/>
  </r>
  <r>
    <s v="P1453"/>
    <x v="2"/>
    <n v="949"/>
    <n v="2"/>
    <n v="1"/>
    <n v="29"/>
    <s v="Yes"/>
    <s v="Yes"/>
    <s v="No"/>
    <s v="Yes"/>
    <x v="1"/>
    <n v="18"/>
    <n v="20"/>
    <n v="3650000"/>
    <n v="3846.1538461538462"/>
    <x v="1"/>
  </r>
  <r>
    <s v="P1454"/>
    <x v="0"/>
    <n v="913"/>
    <n v="2"/>
    <n v="2"/>
    <n v="5"/>
    <s v="Yes"/>
    <s v="No"/>
    <s v="No"/>
    <s v="Yes"/>
    <x v="0"/>
    <n v="19"/>
    <n v="21"/>
    <n v="7150000"/>
    <n v="7831.325301204819"/>
    <x v="0"/>
  </r>
  <r>
    <s v="P1455"/>
    <x v="5"/>
    <n v="962"/>
    <n v="2"/>
    <n v="2"/>
    <n v="27"/>
    <s v="Yes"/>
    <s v="Yes"/>
    <s v="No"/>
    <s v="Yes"/>
    <x v="1"/>
    <n v="20"/>
    <n v="24"/>
    <n v="7050000"/>
    <n v="7328.4823284823287"/>
    <x v="0"/>
  </r>
  <r>
    <s v="P1456"/>
    <x v="1"/>
    <n v="1505"/>
    <n v="4"/>
    <n v="3"/>
    <n v="11"/>
    <s v="No"/>
    <s v="No"/>
    <s v="Yes"/>
    <s v="Yes"/>
    <x v="1"/>
    <n v="7"/>
    <n v="24"/>
    <n v="4750000"/>
    <n v="3156.1461794019933"/>
    <x v="1"/>
  </r>
  <r>
    <s v="P1457"/>
    <x v="5"/>
    <n v="1269"/>
    <n v="3"/>
    <n v="3"/>
    <n v="8"/>
    <s v="Yes"/>
    <s v="No"/>
    <s v="Yes"/>
    <s v="Yes"/>
    <x v="1"/>
    <n v="6"/>
    <n v="23"/>
    <n v="11650000"/>
    <n v="9180.4570527974774"/>
    <x v="2"/>
  </r>
  <r>
    <s v="P1458"/>
    <x v="1"/>
    <n v="1024"/>
    <n v="2"/>
    <n v="2"/>
    <n v="2"/>
    <s v="No"/>
    <s v="No"/>
    <s v="Yes"/>
    <s v="Yes"/>
    <x v="2"/>
    <n v="16"/>
    <n v="16"/>
    <n v="5650000"/>
    <n v="5517.578125"/>
    <x v="0"/>
  </r>
  <r>
    <s v="P1459"/>
    <x v="0"/>
    <n v="1572"/>
    <n v="4"/>
    <n v="4"/>
    <n v="5"/>
    <s v="No"/>
    <s v="No"/>
    <s v="Yes"/>
    <s v="Yes"/>
    <x v="1"/>
    <n v="6"/>
    <n v="9"/>
    <n v="10750000"/>
    <n v="6838.4223918575062"/>
    <x v="2"/>
  </r>
  <r>
    <s v="P1460"/>
    <x v="4"/>
    <n v="1545"/>
    <n v="3"/>
    <n v="2"/>
    <n v="2"/>
    <s v="Yes"/>
    <s v="Yes"/>
    <s v="No"/>
    <s v="No"/>
    <x v="2"/>
    <n v="14"/>
    <n v="24"/>
    <n v="10500000"/>
    <n v="6796.1165048543689"/>
    <x v="2"/>
  </r>
  <r>
    <s v="P1461"/>
    <x v="1"/>
    <n v="924"/>
    <n v="2"/>
    <n v="2"/>
    <n v="27"/>
    <s v="Yes"/>
    <s v="No"/>
    <s v="No"/>
    <s v="No"/>
    <x v="0"/>
    <n v="3"/>
    <n v="14"/>
    <n v="2950000"/>
    <n v="3192.6406926406926"/>
    <x v="1"/>
  </r>
  <r>
    <s v="P1462"/>
    <x v="4"/>
    <n v="1872"/>
    <n v="4"/>
    <n v="5"/>
    <n v="11"/>
    <s v="Yes"/>
    <s v="Yes"/>
    <s v="No"/>
    <s v="Yes"/>
    <x v="2"/>
    <n v="13"/>
    <n v="15"/>
    <n v="11900000"/>
    <n v="6356.8376068376065"/>
    <x v="2"/>
  </r>
  <r>
    <s v="P1463"/>
    <x v="7"/>
    <n v="1700"/>
    <n v="3"/>
    <n v="4"/>
    <n v="1"/>
    <s v="Yes"/>
    <s v="Yes"/>
    <s v="No"/>
    <s v="Yes"/>
    <x v="1"/>
    <n v="6"/>
    <n v="14"/>
    <n v="12250000"/>
    <n v="7205.8823529411766"/>
    <x v="2"/>
  </r>
  <r>
    <s v="P1464"/>
    <x v="0"/>
    <n v="1399"/>
    <n v="2"/>
    <n v="2"/>
    <n v="6"/>
    <s v="No"/>
    <s v="No"/>
    <s v="No"/>
    <s v="Yes"/>
    <x v="1"/>
    <n v="6"/>
    <n v="11"/>
    <n v="8050000"/>
    <n v="5754.1100786275911"/>
    <x v="0"/>
  </r>
  <r>
    <s v="P1465"/>
    <x v="5"/>
    <n v="1349"/>
    <n v="3"/>
    <n v="3"/>
    <n v="16"/>
    <s v="Yes"/>
    <s v="Yes"/>
    <s v="No"/>
    <s v="Yes"/>
    <x v="2"/>
    <n v="6"/>
    <n v="10"/>
    <n v="13200000"/>
    <n v="9785.0259451445509"/>
    <x v="2"/>
  </r>
  <r>
    <s v="P1466"/>
    <x v="1"/>
    <n v="999"/>
    <n v="2"/>
    <n v="2"/>
    <n v="5"/>
    <s v="Yes"/>
    <s v="No"/>
    <s v="No"/>
    <s v="Yes"/>
    <x v="1"/>
    <n v="5"/>
    <n v="11"/>
    <n v="3400000"/>
    <n v="3403.4034034034034"/>
    <x v="1"/>
  </r>
  <r>
    <s v="P1467"/>
    <x v="3"/>
    <n v="1118"/>
    <n v="3"/>
    <n v="3"/>
    <n v="6"/>
    <s v="Yes"/>
    <s v="Yes"/>
    <s v="No"/>
    <s v="No"/>
    <x v="0"/>
    <n v="2"/>
    <n v="22"/>
    <n v="5050000"/>
    <n v="4516.9946332737027"/>
    <x v="0"/>
  </r>
  <r>
    <s v="P1468"/>
    <x v="0"/>
    <n v="1187"/>
    <n v="3"/>
    <n v="3"/>
    <n v="28"/>
    <s v="Yes"/>
    <s v="Yes"/>
    <s v="No"/>
    <s v="Yes"/>
    <x v="1"/>
    <n v="20"/>
    <n v="22"/>
    <n v="7650000"/>
    <n v="6444.8188711036228"/>
    <x v="0"/>
  </r>
  <r>
    <s v="P1469"/>
    <x v="6"/>
    <n v="887"/>
    <n v="1"/>
    <n v="1"/>
    <n v="0"/>
    <s v="Yes"/>
    <s v="Yes"/>
    <s v="No"/>
    <s v="Yes"/>
    <x v="2"/>
    <n v="11"/>
    <n v="16"/>
    <n v="9350000"/>
    <n v="10541.149943630215"/>
    <x v="0"/>
  </r>
  <r>
    <s v="P1470"/>
    <x v="2"/>
    <n v="1075"/>
    <n v="2"/>
    <n v="2"/>
    <n v="9"/>
    <s v="Yes"/>
    <s v="Yes"/>
    <s v="No"/>
    <s v="No"/>
    <x v="1"/>
    <n v="10"/>
    <n v="11"/>
    <n v="4750000"/>
    <n v="4418.604651162791"/>
    <x v="1"/>
  </r>
  <r>
    <s v="P1471"/>
    <x v="2"/>
    <n v="1853"/>
    <n v="4"/>
    <n v="3"/>
    <n v="25"/>
    <s v="Yes"/>
    <s v="Yes"/>
    <s v="No"/>
    <s v="Yes"/>
    <x v="1"/>
    <n v="16"/>
    <n v="16"/>
    <n v="8150000"/>
    <n v="4398.2730706961684"/>
    <x v="0"/>
  </r>
  <r>
    <s v="P1472"/>
    <x v="4"/>
    <n v="1429"/>
    <n v="4"/>
    <n v="5"/>
    <n v="20"/>
    <s v="No"/>
    <s v="No"/>
    <s v="No"/>
    <s v="Yes"/>
    <x v="1"/>
    <n v="6"/>
    <n v="19"/>
    <n v="5100000"/>
    <n v="3568.9293212036391"/>
    <x v="0"/>
  </r>
  <r>
    <s v="P1473"/>
    <x v="6"/>
    <n v="834"/>
    <n v="2"/>
    <n v="3"/>
    <n v="7"/>
    <s v="No"/>
    <s v="No"/>
    <s v="No"/>
    <s v="Yes"/>
    <x v="0"/>
    <n v="14"/>
    <n v="15"/>
    <n v="6450000"/>
    <n v="7733.812949640288"/>
    <x v="0"/>
  </r>
  <r>
    <s v="P1474"/>
    <x v="6"/>
    <n v="1499"/>
    <n v="3"/>
    <n v="3"/>
    <n v="3"/>
    <s v="Yes"/>
    <s v="Yes"/>
    <s v="Yes"/>
    <s v="Yes"/>
    <x v="1"/>
    <n v="8"/>
    <n v="23"/>
    <n v="12000000"/>
    <n v="8005.3368912608403"/>
    <x v="2"/>
  </r>
  <r>
    <s v="P1475"/>
    <x v="1"/>
    <n v="1141"/>
    <n v="3"/>
    <n v="4"/>
    <n v="30"/>
    <s v="No"/>
    <s v="No"/>
    <s v="No"/>
    <s v="Yes"/>
    <x v="1"/>
    <n v="8"/>
    <n v="12"/>
    <n v="2600000"/>
    <n v="2278.7028921998249"/>
    <x v="1"/>
  </r>
  <r>
    <s v="P1476"/>
    <x v="5"/>
    <n v="852"/>
    <n v="2"/>
    <n v="2"/>
    <n v="8"/>
    <s v="No"/>
    <s v="No"/>
    <s v="No"/>
    <s v="Yes"/>
    <x v="1"/>
    <n v="3"/>
    <n v="8"/>
    <n v="7050000"/>
    <n v="8274.647887323943"/>
    <x v="0"/>
  </r>
  <r>
    <s v="P1477"/>
    <x v="3"/>
    <n v="1502"/>
    <n v="3"/>
    <n v="3"/>
    <n v="11"/>
    <s v="Yes"/>
    <s v="Yes"/>
    <s v="No"/>
    <s v="Yes"/>
    <x v="1"/>
    <n v="1"/>
    <n v="18"/>
    <n v="6000000"/>
    <n v="3994.6737683089214"/>
    <x v="0"/>
  </r>
  <r>
    <s v="P1478"/>
    <x v="7"/>
    <n v="893"/>
    <n v="1"/>
    <n v="1"/>
    <n v="10"/>
    <s v="Yes"/>
    <s v="No"/>
    <s v="Yes"/>
    <s v="Yes"/>
    <x v="2"/>
    <n v="10"/>
    <n v="12"/>
    <n v="7100000"/>
    <n v="7950.7278835386342"/>
    <x v="0"/>
  </r>
  <r>
    <s v="P1479"/>
    <x v="4"/>
    <n v="1527"/>
    <n v="4"/>
    <n v="4"/>
    <n v="15"/>
    <s v="Yes"/>
    <s v="Yes"/>
    <s v="No"/>
    <s v="Yes"/>
    <x v="1"/>
    <n v="4"/>
    <n v="14"/>
    <n v="8050000"/>
    <n v="5271.7747216764901"/>
    <x v="0"/>
  </r>
  <r>
    <s v="P1480"/>
    <x v="3"/>
    <n v="1850"/>
    <n v="5"/>
    <n v="5"/>
    <n v="16"/>
    <s v="No"/>
    <s v="Yes"/>
    <s v="No"/>
    <s v="No"/>
    <x v="1"/>
    <n v="7"/>
    <n v="10"/>
    <n v="6000000"/>
    <n v="3243.2432432432433"/>
    <x v="0"/>
  </r>
  <r>
    <s v="P1481"/>
    <x v="2"/>
    <n v="1269"/>
    <n v="4"/>
    <n v="4"/>
    <n v="2"/>
    <s v="Yes"/>
    <s v="Yes"/>
    <s v="Yes"/>
    <s v="Yes"/>
    <x v="1"/>
    <n v="19"/>
    <n v="19"/>
    <n v="8050000"/>
    <n v="6343.5776201733652"/>
    <x v="0"/>
  </r>
  <r>
    <s v="P1482"/>
    <x v="3"/>
    <n v="1180"/>
    <n v="2"/>
    <n v="2"/>
    <n v="3"/>
    <s v="Yes"/>
    <s v="No"/>
    <s v="No"/>
    <s v="Yes"/>
    <x v="1"/>
    <n v="9"/>
    <n v="10"/>
    <n v="4650000"/>
    <n v="3940.6779661016949"/>
    <x v="1"/>
  </r>
  <r>
    <s v="P1483"/>
    <x v="1"/>
    <n v="800"/>
    <n v="2"/>
    <n v="2"/>
    <n v="21"/>
    <s v="Yes"/>
    <s v="Yes"/>
    <s v="No"/>
    <s v="Yes"/>
    <x v="1"/>
    <n v="14"/>
    <n v="14"/>
    <n v="2750000"/>
    <n v="3437.5"/>
    <x v="1"/>
  </r>
  <r>
    <s v="P1484"/>
    <x v="3"/>
    <n v="608"/>
    <n v="1"/>
    <n v="1"/>
    <n v="25"/>
    <s v="Yes"/>
    <s v="No"/>
    <s v="Yes"/>
    <s v="Yes"/>
    <x v="1"/>
    <n v="5"/>
    <n v="22"/>
    <n v="2250000"/>
    <n v="3700.6578947368421"/>
    <x v="1"/>
  </r>
  <r>
    <s v="P1485"/>
    <x v="4"/>
    <n v="1542"/>
    <n v="3"/>
    <n v="3"/>
    <n v="9"/>
    <s v="Yes"/>
    <s v="No"/>
    <s v="No"/>
    <s v="Yes"/>
    <x v="1"/>
    <n v="17"/>
    <n v="17"/>
    <n v="7250000"/>
    <n v="4701.6861219195853"/>
    <x v="0"/>
  </r>
  <r>
    <s v="P1486"/>
    <x v="2"/>
    <n v="809"/>
    <n v="2"/>
    <n v="1"/>
    <n v="9"/>
    <s v="Yes"/>
    <s v="Yes"/>
    <s v="No"/>
    <s v="Yes"/>
    <x v="1"/>
    <n v="12"/>
    <n v="18"/>
    <n v="3550000"/>
    <n v="4388.1334981458594"/>
    <x v="1"/>
  </r>
  <r>
    <s v="P1487"/>
    <x v="4"/>
    <n v="1988"/>
    <n v="5"/>
    <n v="5"/>
    <n v="12"/>
    <s v="Yes"/>
    <s v="No"/>
    <s v="Yes"/>
    <s v="Yes"/>
    <x v="2"/>
    <n v="6"/>
    <n v="18"/>
    <n v="14450000"/>
    <n v="7268.611670020121"/>
    <x v="2"/>
  </r>
  <r>
    <s v="P1488"/>
    <x v="2"/>
    <n v="1351"/>
    <n v="3"/>
    <n v="3"/>
    <n v="11"/>
    <s v="Yes"/>
    <s v="No"/>
    <s v="No"/>
    <s v="Yes"/>
    <x v="1"/>
    <n v="1"/>
    <n v="4"/>
    <n v="6450000"/>
    <n v="4774.241302738712"/>
    <x v="0"/>
  </r>
  <r>
    <s v="P1489"/>
    <x v="1"/>
    <n v="1215"/>
    <n v="3"/>
    <n v="3"/>
    <n v="25"/>
    <s v="Yes"/>
    <s v="Yes"/>
    <s v="No"/>
    <s v="Yes"/>
    <x v="1"/>
    <n v="7"/>
    <n v="18"/>
    <n v="3700000"/>
    <n v="3045.2674897119341"/>
    <x v="1"/>
  </r>
  <r>
    <s v="P1490"/>
    <x v="7"/>
    <n v="1122"/>
    <n v="2"/>
    <n v="3"/>
    <n v="30"/>
    <s v="Yes"/>
    <s v="No"/>
    <s v="No"/>
    <s v="No"/>
    <x v="0"/>
    <n v="10"/>
    <n v="21"/>
    <n v="5550000"/>
    <n v="4946.5240641711234"/>
    <x v="0"/>
  </r>
  <r>
    <s v="P1491"/>
    <x v="5"/>
    <n v="1050"/>
    <n v="2"/>
    <n v="1"/>
    <n v="30"/>
    <s v="Yes"/>
    <s v="Yes"/>
    <s v="No"/>
    <s v="Yes"/>
    <x v="0"/>
    <n v="6"/>
    <n v="16"/>
    <n v="8800000"/>
    <n v="8380.9523809523816"/>
    <x v="0"/>
  </r>
  <r>
    <s v="P1492"/>
    <x v="2"/>
    <n v="1574"/>
    <n v="4"/>
    <n v="3"/>
    <n v="1"/>
    <s v="Yes"/>
    <s v="Yes"/>
    <s v="Yes"/>
    <s v="Yes"/>
    <x v="1"/>
    <n v="18"/>
    <n v="20"/>
    <n v="9400000"/>
    <n v="5972.0457433290976"/>
    <x v="0"/>
  </r>
  <r>
    <s v="P1493"/>
    <x v="0"/>
    <n v="1609"/>
    <n v="3"/>
    <n v="3"/>
    <n v="7"/>
    <s v="Yes"/>
    <s v="No"/>
    <s v="No"/>
    <s v="Yes"/>
    <x v="1"/>
    <n v="19"/>
    <n v="20"/>
    <n v="10800000"/>
    <n v="6712.2436295835923"/>
    <x v="2"/>
  </r>
  <r>
    <s v="P1494"/>
    <x v="5"/>
    <n v="1650"/>
    <n v="3"/>
    <n v="2"/>
    <n v="14"/>
    <s v="No"/>
    <s v="Yes"/>
    <s v="Yes"/>
    <s v="Yes"/>
    <x v="0"/>
    <n v="10"/>
    <n v="21"/>
    <n v="14100000"/>
    <n v="8545.454545454546"/>
    <x v="2"/>
  </r>
  <r>
    <s v="P1495"/>
    <x v="3"/>
    <n v="1057"/>
    <n v="2"/>
    <n v="3"/>
    <n v="0"/>
    <s v="Yes"/>
    <s v="Yes"/>
    <s v="No"/>
    <s v="Yes"/>
    <x v="0"/>
    <n v="7"/>
    <n v="7"/>
    <n v="4800000"/>
    <n v="4541.1542100283823"/>
    <x v="1"/>
  </r>
  <r>
    <s v="P1496"/>
    <x v="5"/>
    <n v="1364"/>
    <n v="2"/>
    <n v="2"/>
    <n v="26"/>
    <s v="Yes"/>
    <s v="No"/>
    <s v="Yes"/>
    <s v="Yes"/>
    <x v="1"/>
    <n v="6"/>
    <n v="19"/>
    <n v="9250000"/>
    <n v="6781.5249266862174"/>
    <x v="0"/>
  </r>
  <r>
    <s v="P1497"/>
    <x v="1"/>
    <n v="1476"/>
    <n v="3"/>
    <n v="3"/>
    <n v="22"/>
    <s v="Yes"/>
    <s v="Yes"/>
    <s v="No"/>
    <s v="Yes"/>
    <x v="1"/>
    <n v="10"/>
    <n v="14"/>
    <n v="5550000"/>
    <n v="3760.1626016260161"/>
    <x v="0"/>
  </r>
  <r>
    <s v="P1498"/>
    <x v="0"/>
    <n v="991"/>
    <n v="2"/>
    <n v="2"/>
    <n v="26"/>
    <s v="Yes"/>
    <s v="Yes"/>
    <s v="No"/>
    <s v="Yes"/>
    <x v="1"/>
    <n v="7"/>
    <n v="15"/>
    <n v="6000000"/>
    <n v="6054.4904137235117"/>
    <x v="0"/>
  </r>
  <r>
    <s v="P1499"/>
    <x v="2"/>
    <n v="2317"/>
    <n v="5"/>
    <n v="4"/>
    <n v="26"/>
    <s v="Yes"/>
    <s v="Yes"/>
    <s v="Yes"/>
    <s v="Yes"/>
    <x v="2"/>
    <n v="5"/>
    <n v="17"/>
    <n v="14800000"/>
    <n v="6387.5701337936989"/>
    <x v="2"/>
  </r>
  <r>
    <s v="P1500"/>
    <x v="4"/>
    <n v="1121"/>
    <n v="2"/>
    <n v="2"/>
    <n v="14"/>
    <s v="Yes"/>
    <s v="Yes"/>
    <s v="Yes"/>
    <s v="No"/>
    <x v="2"/>
    <n v="19"/>
    <n v="20"/>
    <n v="8700000"/>
    <n v="7760.9277430865295"/>
    <x v="0"/>
  </r>
  <r>
    <s v="P1501"/>
    <x v="4"/>
    <n v="1402"/>
    <n v="3"/>
    <n v="3"/>
    <n v="25"/>
    <s v="No"/>
    <s v="No"/>
    <s v="Yes"/>
    <s v="Yes"/>
    <x v="1"/>
    <n v="18"/>
    <n v="18"/>
    <n v="6250000"/>
    <n v="4457.9172610556352"/>
    <x v="0"/>
  </r>
  <r>
    <s v="P1502"/>
    <x v="1"/>
    <n v="1736"/>
    <n v="4"/>
    <n v="5"/>
    <n v="22"/>
    <s v="No"/>
    <s v="Yes"/>
    <s v="No"/>
    <s v="No"/>
    <x v="0"/>
    <n v="8"/>
    <n v="10"/>
    <n v="5650000"/>
    <n v="3254.6082949308757"/>
    <x v="0"/>
  </r>
  <r>
    <s v="P1503"/>
    <x v="2"/>
    <n v="1064"/>
    <n v="2"/>
    <n v="3"/>
    <n v="2"/>
    <s v="Yes"/>
    <s v="Yes"/>
    <s v="No"/>
    <s v="Yes"/>
    <x v="0"/>
    <n v="14"/>
    <n v="18"/>
    <n v="6100000"/>
    <n v="5733.082706766917"/>
    <x v="0"/>
  </r>
  <r>
    <s v="P1504"/>
    <x v="7"/>
    <n v="806"/>
    <n v="1"/>
    <n v="1"/>
    <n v="2"/>
    <s v="Yes"/>
    <s v="No"/>
    <s v="No"/>
    <s v="No"/>
    <x v="2"/>
    <n v="20"/>
    <n v="24"/>
    <n v="6550000"/>
    <n v="8126.5508684863526"/>
    <x v="0"/>
  </r>
  <r>
    <s v="P1505"/>
    <x v="1"/>
    <n v="1034"/>
    <n v="2"/>
    <n v="1"/>
    <n v="24"/>
    <s v="No"/>
    <s v="Yes"/>
    <s v="No"/>
    <s v="Yes"/>
    <x v="0"/>
    <n v="16"/>
    <n v="24"/>
    <n v="3850000"/>
    <n v="3723.4042553191489"/>
    <x v="1"/>
  </r>
  <r>
    <s v="P1506"/>
    <x v="6"/>
    <n v="1067"/>
    <n v="3"/>
    <n v="4"/>
    <n v="24"/>
    <s v="No"/>
    <s v="No"/>
    <s v="No"/>
    <s v="Yes"/>
    <x v="2"/>
    <n v="8"/>
    <n v="8"/>
    <n v="8100000"/>
    <n v="7591.3776944704778"/>
    <x v="0"/>
  </r>
  <r>
    <s v="P1507"/>
    <x v="4"/>
    <n v="1191"/>
    <n v="3"/>
    <n v="3"/>
    <n v="9"/>
    <s v="No"/>
    <s v="Yes"/>
    <s v="Yes"/>
    <s v="Yes"/>
    <x v="1"/>
    <n v="15"/>
    <n v="23"/>
    <n v="6000000"/>
    <n v="5037.7833753148616"/>
    <x v="0"/>
  </r>
  <r>
    <s v="P1508"/>
    <x v="4"/>
    <n v="943"/>
    <n v="2"/>
    <n v="3"/>
    <n v="4"/>
    <s v="Yes"/>
    <s v="No"/>
    <s v="No"/>
    <s v="Yes"/>
    <x v="0"/>
    <n v="7"/>
    <n v="10"/>
    <n v="5650000"/>
    <n v="5991.5164369034992"/>
    <x v="0"/>
  </r>
  <r>
    <s v="P1509"/>
    <x v="5"/>
    <n v="1139"/>
    <n v="2"/>
    <n v="2"/>
    <n v="22"/>
    <s v="No"/>
    <s v="No"/>
    <s v="Yes"/>
    <s v="Yes"/>
    <x v="1"/>
    <n v="11"/>
    <n v="11"/>
    <n v="7550000"/>
    <n v="6628.6215978928885"/>
    <x v="0"/>
  </r>
  <r>
    <s v="P1510"/>
    <x v="5"/>
    <n v="943"/>
    <n v="2"/>
    <n v="2"/>
    <n v="17"/>
    <s v="Yes"/>
    <s v="No"/>
    <s v="No"/>
    <s v="Yes"/>
    <x v="1"/>
    <n v="1"/>
    <n v="23"/>
    <n v="7450000"/>
    <n v="7900.3181336161188"/>
    <x v="0"/>
  </r>
  <r>
    <s v="P1511"/>
    <x v="6"/>
    <n v="2215"/>
    <n v="4"/>
    <n v="5"/>
    <n v="9"/>
    <s v="Yes"/>
    <s v="No"/>
    <s v="No"/>
    <s v="Yes"/>
    <x v="2"/>
    <n v="17"/>
    <n v="24"/>
    <n v="21050000"/>
    <n v="9503.3860045146721"/>
    <x v="2"/>
  </r>
  <r>
    <s v="P1512"/>
    <x v="0"/>
    <n v="1536"/>
    <n v="3"/>
    <n v="3"/>
    <n v="10"/>
    <s v="Yes"/>
    <s v="Yes"/>
    <s v="Yes"/>
    <s v="Yes"/>
    <x v="1"/>
    <n v="20"/>
    <n v="20"/>
    <n v="10400000"/>
    <n v="6770.833333333333"/>
    <x v="2"/>
  </r>
  <r>
    <s v="P1513"/>
    <x v="5"/>
    <n v="1018"/>
    <n v="3"/>
    <n v="3"/>
    <n v="22"/>
    <s v="Yes"/>
    <s v="Yes"/>
    <s v="No"/>
    <s v="Yes"/>
    <x v="1"/>
    <n v="14"/>
    <n v="23"/>
    <n v="7250000"/>
    <n v="7121.8074656188601"/>
    <x v="0"/>
  </r>
  <r>
    <s v="P1514"/>
    <x v="1"/>
    <n v="1744"/>
    <n v="4"/>
    <n v="4"/>
    <n v="25"/>
    <s v="Yes"/>
    <s v="No"/>
    <s v="No"/>
    <s v="Yes"/>
    <x v="1"/>
    <n v="20"/>
    <n v="21"/>
    <n v="4500000"/>
    <n v="2580.2752293577983"/>
    <x v="1"/>
  </r>
  <r>
    <s v="P1515"/>
    <x v="1"/>
    <n v="1252"/>
    <n v="3"/>
    <n v="3"/>
    <n v="21"/>
    <s v="Yes"/>
    <s v="Yes"/>
    <s v="Yes"/>
    <s v="Yes"/>
    <x v="1"/>
    <n v="11"/>
    <n v="11"/>
    <n v="4500000"/>
    <n v="3594.2492012779553"/>
    <x v="1"/>
  </r>
  <r>
    <s v="P1516"/>
    <x v="4"/>
    <n v="1265"/>
    <n v="3"/>
    <n v="3"/>
    <n v="4"/>
    <s v="Yes"/>
    <s v="No"/>
    <s v="Yes"/>
    <s v="Yes"/>
    <x v="0"/>
    <n v="20"/>
    <n v="23"/>
    <n v="7550000"/>
    <n v="5968.379446640316"/>
    <x v="0"/>
  </r>
  <r>
    <s v="P1517"/>
    <x v="2"/>
    <n v="1021"/>
    <n v="2"/>
    <n v="2"/>
    <n v="23"/>
    <s v="No"/>
    <s v="No"/>
    <s v="Yes"/>
    <s v="Yes"/>
    <x v="0"/>
    <n v="18"/>
    <n v="23"/>
    <n v="5300000"/>
    <n v="5190.9892262487756"/>
    <x v="0"/>
  </r>
  <r>
    <s v="P1518"/>
    <x v="1"/>
    <n v="2362"/>
    <n v="5"/>
    <n v="5"/>
    <n v="20"/>
    <s v="Yes"/>
    <s v="Yes"/>
    <s v="No"/>
    <s v="Yes"/>
    <x v="1"/>
    <n v="10"/>
    <n v="20"/>
    <n v="9200000"/>
    <n v="3895.0042337002542"/>
    <x v="0"/>
  </r>
  <r>
    <s v="P1519"/>
    <x v="0"/>
    <n v="1848"/>
    <n v="4"/>
    <n v="4"/>
    <n v="27"/>
    <s v="Yes"/>
    <s v="Yes"/>
    <s v="No"/>
    <s v="Yes"/>
    <x v="1"/>
    <n v="18"/>
    <n v="18"/>
    <n v="11450000"/>
    <n v="6195.8874458874461"/>
    <x v="2"/>
  </r>
  <r>
    <s v="P1520"/>
    <x v="4"/>
    <n v="467"/>
    <n v="1"/>
    <n v="1"/>
    <n v="14"/>
    <s v="Yes"/>
    <s v="Yes"/>
    <s v="Yes"/>
    <s v="No"/>
    <x v="0"/>
    <n v="12"/>
    <n v="12"/>
    <n v="2950000"/>
    <n v="6316.9164882226978"/>
    <x v="1"/>
  </r>
  <r>
    <s v="P1521"/>
    <x v="4"/>
    <n v="1130"/>
    <n v="2"/>
    <n v="2"/>
    <n v="23"/>
    <s v="Yes"/>
    <s v="No"/>
    <s v="Yes"/>
    <s v="Yes"/>
    <x v="0"/>
    <n v="1"/>
    <n v="19"/>
    <n v="5650000"/>
    <n v="5000"/>
    <x v="0"/>
  </r>
  <r>
    <s v="P1522"/>
    <x v="2"/>
    <n v="1441"/>
    <n v="4"/>
    <n v="4"/>
    <n v="19"/>
    <s v="No"/>
    <s v="Yes"/>
    <s v="No"/>
    <s v="Yes"/>
    <x v="1"/>
    <n v="8"/>
    <n v="17"/>
    <n v="6100000"/>
    <n v="4233.1714087439277"/>
    <x v="0"/>
  </r>
  <r>
    <s v="P1523"/>
    <x v="1"/>
    <n v="1077"/>
    <n v="2"/>
    <n v="2"/>
    <n v="30"/>
    <s v="Yes"/>
    <s v="Yes"/>
    <s v="No"/>
    <s v="Yes"/>
    <x v="1"/>
    <n v="7"/>
    <n v="13"/>
    <n v="2750000"/>
    <n v="2553.3890436397401"/>
    <x v="1"/>
  </r>
  <r>
    <s v="P1524"/>
    <x v="2"/>
    <n v="1013"/>
    <n v="2"/>
    <n v="2"/>
    <n v="24"/>
    <s v="Yes"/>
    <s v="No"/>
    <s v="No"/>
    <s v="Yes"/>
    <x v="1"/>
    <n v="10"/>
    <n v="19"/>
    <n v="3800000"/>
    <n v="3751.2339585389932"/>
    <x v="1"/>
  </r>
  <r>
    <s v="P1525"/>
    <x v="2"/>
    <n v="1338"/>
    <n v="2"/>
    <n v="2"/>
    <n v="6"/>
    <s v="Yes"/>
    <s v="Yes"/>
    <s v="No"/>
    <s v="Yes"/>
    <x v="1"/>
    <n v="18"/>
    <n v="18"/>
    <n v="6050000"/>
    <n v="4521.6741405082212"/>
    <x v="0"/>
  </r>
  <r>
    <s v="P1526"/>
    <x v="4"/>
    <n v="972"/>
    <n v="1"/>
    <n v="1"/>
    <n v="14"/>
    <s v="Yes"/>
    <s v="Yes"/>
    <s v="No"/>
    <s v="Yes"/>
    <x v="1"/>
    <n v="15"/>
    <n v="15"/>
    <n v="4950000"/>
    <n v="5092.5925925925922"/>
    <x v="1"/>
  </r>
  <r>
    <s v="P1527"/>
    <x v="4"/>
    <n v="1719"/>
    <n v="4"/>
    <n v="4"/>
    <n v="15"/>
    <s v="Yes"/>
    <s v="No"/>
    <s v="Yes"/>
    <s v="Yes"/>
    <x v="1"/>
    <n v="2"/>
    <n v="10"/>
    <n v="7900000"/>
    <n v="4595.6951716114017"/>
    <x v="0"/>
  </r>
  <r>
    <s v="P1528"/>
    <x v="0"/>
    <n v="1601"/>
    <n v="3"/>
    <n v="3"/>
    <n v="5"/>
    <s v="Yes"/>
    <s v="No"/>
    <s v="No"/>
    <s v="Yes"/>
    <x v="1"/>
    <n v="11"/>
    <n v="14"/>
    <n v="12850000"/>
    <n v="8026.2336039975016"/>
    <x v="2"/>
  </r>
  <r>
    <s v="P1529"/>
    <x v="6"/>
    <n v="1136"/>
    <n v="2"/>
    <n v="1"/>
    <n v="1"/>
    <s v="Yes"/>
    <s v="No"/>
    <s v="No"/>
    <s v="Yes"/>
    <x v="1"/>
    <n v="20"/>
    <n v="21"/>
    <n v="7750000"/>
    <n v="6822.1830985915494"/>
    <x v="0"/>
  </r>
  <r>
    <s v="P1530"/>
    <x v="6"/>
    <n v="1536"/>
    <n v="3"/>
    <n v="3"/>
    <n v="7"/>
    <s v="Yes"/>
    <s v="No"/>
    <s v="Yes"/>
    <s v="Yes"/>
    <x v="1"/>
    <n v="5"/>
    <n v="12"/>
    <n v="10050000"/>
    <n v="6542.96875"/>
    <x v="2"/>
  </r>
  <r>
    <s v="P1531"/>
    <x v="5"/>
    <n v="1342"/>
    <n v="3"/>
    <n v="2"/>
    <n v="21"/>
    <s v="Yes"/>
    <s v="Yes"/>
    <s v="No"/>
    <s v="Yes"/>
    <x v="1"/>
    <n v="5"/>
    <n v="14"/>
    <n v="10500000"/>
    <n v="7824.143070044709"/>
    <x v="2"/>
  </r>
  <r>
    <s v="P1532"/>
    <x v="1"/>
    <n v="1325"/>
    <n v="3"/>
    <n v="2"/>
    <n v="7"/>
    <s v="Yes"/>
    <s v="No"/>
    <s v="No"/>
    <s v="Yes"/>
    <x v="0"/>
    <n v="17"/>
    <n v="17"/>
    <n v="4750000"/>
    <n v="3584.9056603773583"/>
    <x v="1"/>
  </r>
  <r>
    <s v="P1533"/>
    <x v="6"/>
    <n v="1495"/>
    <n v="3"/>
    <n v="4"/>
    <n v="7"/>
    <s v="Yes"/>
    <s v="No"/>
    <s v="No"/>
    <s v="Yes"/>
    <x v="0"/>
    <n v="3"/>
    <n v="15"/>
    <n v="10150000"/>
    <n v="6789.2976588628762"/>
    <x v="2"/>
  </r>
  <r>
    <s v="P1534"/>
    <x v="2"/>
    <n v="1785"/>
    <n v="4"/>
    <n v="4"/>
    <n v="28"/>
    <s v="No"/>
    <s v="No"/>
    <s v="No"/>
    <s v="Yes"/>
    <x v="0"/>
    <n v="12"/>
    <n v="18"/>
    <n v="7300000"/>
    <n v="4089.6358543417368"/>
    <x v="0"/>
  </r>
  <r>
    <s v="P1535"/>
    <x v="4"/>
    <n v="971"/>
    <n v="3"/>
    <n v="3"/>
    <n v="12"/>
    <s v="Yes"/>
    <s v="Yes"/>
    <s v="No"/>
    <s v="No"/>
    <x v="1"/>
    <n v="2"/>
    <n v="14"/>
    <n v="5650000"/>
    <n v="5818.7435633367659"/>
    <x v="0"/>
  </r>
  <r>
    <s v="P1536"/>
    <x v="0"/>
    <n v="1361"/>
    <n v="3"/>
    <n v="3"/>
    <n v="0"/>
    <s v="No"/>
    <s v="No"/>
    <s v="No"/>
    <s v="No"/>
    <x v="1"/>
    <n v="16"/>
    <n v="24"/>
    <n v="11300000"/>
    <n v="8302.7185892725938"/>
    <x v="2"/>
  </r>
  <r>
    <s v="P1537"/>
    <x v="3"/>
    <n v="1478"/>
    <n v="3"/>
    <n v="4"/>
    <n v="24"/>
    <s v="Yes"/>
    <s v="No"/>
    <s v="No"/>
    <s v="Yes"/>
    <x v="0"/>
    <n v="13"/>
    <n v="19"/>
    <n v="6200000"/>
    <n v="4194.857916102842"/>
    <x v="0"/>
  </r>
  <r>
    <s v="P1538"/>
    <x v="3"/>
    <n v="1196"/>
    <n v="2"/>
    <n v="1"/>
    <n v="16"/>
    <s v="No"/>
    <s v="Yes"/>
    <s v="No"/>
    <s v="Yes"/>
    <x v="0"/>
    <n v="10"/>
    <n v="22"/>
    <n v="5100000"/>
    <n v="4264.2140468227426"/>
    <x v="0"/>
  </r>
  <r>
    <s v="P1539"/>
    <x v="6"/>
    <n v="1291"/>
    <n v="3"/>
    <n v="3"/>
    <n v="5"/>
    <s v="Yes"/>
    <s v="Yes"/>
    <s v="No"/>
    <s v="Yes"/>
    <x v="1"/>
    <n v="12"/>
    <n v="18"/>
    <n v="9450000"/>
    <n v="7319.9070487993804"/>
    <x v="0"/>
  </r>
  <r>
    <s v="P1540"/>
    <x v="6"/>
    <n v="1183"/>
    <n v="2"/>
    <n v="2"/>
    <n v="14"/>
    <s v="Yes"/>
    <s v="No"/>
    <s v="No"/>
    <s v="Yes"/>
    <x v="1"/>
    <n v="6"/>
    <n v="10"/>
    <n v="7750000"/>
    <n v="6551.141166525782"/>
    <x v="0"/>
  </r>
  <r>
    <s v="P1541"/>
    <x v="5"/>
    <n v="1452"/>
    <n v="3"/>
    <n v="3"/>
    <n v="9"/>
    <s v="No"/>
    <s v="Yes"/>
    <s v="No"/>
    <s v="Yes"/>
    <x v="1"/>
    <n v="5"/>
    <n v="13"/>
    <n v="10700000"/>
    <n v="7369.1460055096422"/>
    <x v="2"/>
  </r>
  <r>
    <s v="P1542"/>
    <x v="5"/>
    <n v="1151"/>
    <n v="3"/>
    <n v="3"/>
    <n v="4"/>
    <s v="Yes"/>
    <s v="No"/>
    <s v="No"/>
    <s v="Yes"/>
    <x v="1"/>
    <n v="12"/>
    <n v="13"/>
    <n v="9800000"/>
    <n v="8514.3353605560387"/>
    <x v="0"/>
  </r>
  <r>
    <s v="P1543"/>
    <x v="5"/>
    <n v="1182"/>
    <n v="3"/>
    <n v="2"/>
    <n v="19"/>
    <s v="Yes"/>
    <s v="Yes"/>
    <s v="No"/>
    <s v="No"/>
    <x v="2"/>
    <n v="10"/>
    <n v="12"/>
    <n v="12250000"/>
    <n v="10363.790186125212"/>
    <x v="2"/>
  </r>
  <r>
    <s v="P1544"/>
    <x v="2"/>
    <n v="1877"/>
    <n v="4"/>
    <n v="4"/>
    <n v="9"/>
    <s v="Yes"/>
    <s v="No"/>
    <s v="No"/>
    <s v="Yes"/>
    <x v="0"/>
    <n v="4"/>
    <n v="8"/>
    <n v="10450000"/>
    <n v="5567.3947789025042"/>
    <x v="2"/>
  </r>
  <r>
    <s v="P1545"/>
    <x v="6"/>
    <n v="1493"/>
    <n v="3"/>
    <n v="4"/>
    <n v="20"/>
    <s v="Yes"/>
    <s v="Yes"/>
    <s v="Yes"/>
    <s v="Yes"/>
    <x v="1"/>
    <n v="18"/>
    <n v="21"/>
    <n v="10650000"/>
    <n v="7133.288680509042"/>
    <x v="2"/>
  </r>
  <r>
    <s v="P1546"/>
    <x v="4"/>
    <n v="765"/>
    <n v="2"/>
    <n v="1"/>
    <n v="13"/>
    <s v="Yes"/>
    <s v="Yes"/>
    <s v="No"/>
    <s v="No"/>
    <x v="0"/>
    <n v="7"/>
    <n v="16"/>
    <n v="4550000"/>
    <n v="5947.7124183006536"/>
    <x v="1"/>
  </r>
  <r>
    <s v="P1547"/>
    <x v="6"/>
    <n v="1120"/>
    <n v="3"/>
    <n v="3"/>
    <n v="27"/>
    <s v="No"/>
    <s v="No"/>
    <s v="No"/>
    <s v="Yes"/>
    <x v="2"/>
    <n v="16"/>
    <n v="16"/>
    <n v="8500000"/>
    <n v="7589.2857142857147"/>
    <x v="0"/>
  </r>
  <r>
    <s v="P1548"/>
    <x v="2"/>
    <n v="1154"/>
    <n v="2"/>
    <n v="3"/>
    <n v="1"/>
    <s v="Yes"/>
    <s v="Yes"/>
    <s v="No"/>
    <s v="Yes"/>
    <x v="1"/>
    <n v="2"/>
    <n v="17"/>
    <n v="5750000"/>
    <n v="4982.6689774696706"/>
    <x v="0"/>
  </r>
  <r>
    <s v="P1549"/>
    <x v="0"/>
    <n v="2089"/>
    <n v="5"/>
    <n v="5"/>
    <n v="7"/>
    <s v="No"/>
    <s v="No"/>
    <s v="No"/>
    <s v="No"/>
    <x v="1"/>
    <n v="7"/>
    <n v="13"/>
    <n v="14000000"/>
    <n v="6701.7711823839154"/>
    <x v="2"/>
  </r>
  <r>
    <s v="P1550"/>
    <x v="7"/>
    <n v="1530"/>
    <n v="4"/>
    <n v="4"/>
    <n v="16"/>
    <s v="Yes"/>
    <s v="Yes"/>
    <s v="No"/>
    <s v="No"/>
    <x v="0"/>
    <n v="1"/>
    <n v="2"/>
    <n v="10100000"/>
    <n v="6601.3071895424837"/>
    <x v="2"/>
  </r>
  <r>
    <s v="P1551"/>
    <x v="7"/>
    <n v="1399"/>
    <n v="3"/>
    <n v="3"/>
    <n v="19"/>
    <s v="Yes"/>
    <s v="Yes"/>
    <s v="Yes"/>
    <s v="Yes"/>
    <x v="1"/>
    <n v="17"/>
    <n v="23"/>
    <n v="7050000"/>
    <n v="5039.3137955682632"/>
    <x v="0"/>
  </r>
  <r>
    <s v="P1552"/>
    <x v="1"/>
    <n v="2054"/>
    <n v="4"/>
    <n v="5"/>
    <n v="1"/>
    <s v="Yes"/>
    <s v="Yes"/>
    <s v="No"/>
    <s v="Yes"/>
    <x v="0"/>
    <n v="13"/>
    <n v="18"/>
    <n v="9950000"/>
    <n v="4844.2064264849078"/>
    <x v="0"/>
  </r>
  <r>
    <s v="P1553"/>
    <x v="3"/>
    <n v="1123"/>
    <n v="3"/>
    <n v="3"/>
    <n v="16"/>
    <s v="Yes"/>
    <s v="No"/>
    <s v="No"/>
    <s v="Yes"/>
    <x v="1"/>
    <n v="8"/>
    <n v="10"/>
    <n v="3750000"/>
    <n v="3339.2698130008903"/>
    <x v="1"/>
  </r>
  <r>
    <s v="P1554"/>
    <x v="6"/>
    <n v="1230"/>
    <n v="4"/>
    <n v="4"/>
    <n v="16"/>
    <s v="Yes"/>
    <s v="Yes"/>
    <s v="Yes"/>
    <s v="Yes"/>
    <x v="0"/>
    <n v="14"/>
    <n v="21"/>
    <n v="9250000"/>
    <n v="7520.3252032520322"/>
    <x v="0"/>
  </r>
  <r>
    <s v="P1555"/>
    <x v="7"/>
    <n v="1644"/>
    <n v="4"/>
    <n v="4"/>
    <n v="27"/>
    <s v="No"/>
    <s v="No"/>
    <s v="No"/>
    <s v="Yes"/>
    <x v="1"/>
    <n v="20"/>
    <n v="22"/>
    <n v="7700000"/>
    <n v="4683.698296836983"/>
    <x v="0"/>
  </r>
  <r>
    <s v="P1556"/>
    <x v="6"/>
    <n v="936"/>
    <n v="2"/>
    <n v="2"/>
    <n v="26"/>
    <s v="No"/>
    <s v="Yes"/>
    <s v="Yes"/>
    <s v="Yes"/>
    <x v="1"/>
    <n v="9"/>
    <n v="16"/>
    <n v="5750000"/>
    <n v="6143.1623931623935"/>
    <x v="0"/>
  </r>
  <r>
    <s v="P1557"/>
    <x v="6"/>
    <n v="1393"/>
    <n v="3"/>
    <n v="3"/>
    <n v="5"/>
    <s v="Yes"/>
    <s v="Yes"/>
    <s v="No"/>
    <s v="Yes"/>
    <x v="1"/>
    <n v="12"/>
    <n v="17"/>
    <n v="8150000"/>
    <n v="5850.6819813352477"/>
    <x v="0"/>
  </r>
  <r>
    <s v="P1558"/>
    <x v="7"/>
    <n v="1386"/>
    <n v="3"/>
    <n v="3"/>
    <n v="12"/>
    <s v="Yes"/>
    <s v="No"/>
    <s v="No"/>
    <s v="No"/>
    <x v="1"/>
    <n v="9"/>
    <n v="18"/>
    <n v="8650000"/>
    <n v="6240.9812409812412"/>
    <x v="0"/>
  </r>
  <r>
    <s v="P1559"/>
    <x v="2"/>
    <n v="1224"/>
    <n v="2"/>
    <n v="2"/>
    <n v="30"/>
    <s v="Yes"/>
    <s v="Yes"/>
    <s v="No"/>
    <s v="Yes"/>
    <x v="0"/>
    <n v="18"/>
    <n v="19"/>
    <n v="5400000"/>
    <n v="4411.7647058823532"/>
    <x v="0"/>
  </r>
  <r>
    <s v="P1560"/>
    <x v="0"/>
    <n v="1251"/>
    <n v="3"/>
    <n v="2"/>
    <n v="1"/>
    <s v="Yes"/>
    <s v="Yes"/>
    <s v="Yes"/>
    <s v="Yes"/>
    <x v="1"/>
    <n v="1"/>
    <n v="3"/>
    <n v="9550000"/>
    <n v="7633.8928856914472"/>
    <x v="0"/>
  </r>
  <r>
    <s v="P1561"/>
    <x v="4"/>
    <n v="933"/>
    <n v="2"/>
    <n v="2"/>
    <n v="3"/>
    <s v="Yes"/>
    <s v="No"/>
    <s v="Yes"/>
    <s v="Yes"/>
    <x v="1"/>
    <n v="1"/>
    <n v="15"/>
    <n v="5750000"/>
    <n v="6162.9153269024655"/>
    <x v="0"/>
  </r>
  <r>
    <s v="P1562"/>
    <x v="2"/>
    <n v="893"/>
    <n v="1"/>
    <n v="2"/>
    <n v="21"/>
    <s v="Yes"/>
    <s v="Yes"/>
    <s v="No"/>
    <s v="Yes"/>
    <x v="1"/>
    <n v="19"/>
    <n v="21"/>
    <n v="4600000"/>
    <n v="5151.1758118701009"/>
    <x v="1"/>
  </r>
  <r>
    <s v="P1563"/>
    <x v="7"/>
    <n v="1459"/>
    <n v="3"/>
    <n v="3"/>
    <n v="19"/>
    <s v="No"/>
    <s v="No"/>
    <s v="No"/>
    <s v="Yes"/>
    <x v="1"/>
    <n v="10"/>
    <n v="19"/>
    <n v="6350000"/>
    <n v="4352.2960932145306"/>
    <x v="0"/>
  </r>
  <r>
    <s v="P1564"/>
    <x v="7"/>
    <n v="1457"/>
    <n v="3"/>
    <n v="3"/>
    <n v="6"/>
    <s v="Yes"/>
    <s v="Yes"/>
    <s v="No"/>
    <s v="No"/>
    <x v="1"/>
    <n v="1"/>
    <n v="10"/>
    <n v="7850000"/>
    <n v="5387.7831159917641"/>
    <x v="0"/>
  </r>
  <r>
    <s v="P1565"/>
    <x v="2"/>
    <n v="1312"/>
    <n v="3"/>
    <n v="4"/>
    <n v="21"/>
    <s v="Yes"/>
    <s v="Yes"/>
    <s v="Yes"/>
    <s v="Yes"/>
    <x v="1"/>
    <n v="16"/>
    <n v="22"/>
    <n v="6000000"/>
    <n v="4573.1707317073169"/>
    <x v="0"/>
  </r>
  <r>
    <s v="P1566"/>
    <x v="4"/>
    <n v="1405"/>
    <n v="3"/>
    <n v="4"/>
    <n v="28"/>
    <s v="Yes"/>
    <s v="Yes"/>
    <s v="No"/>
    <s v="Yes"/>
    <x v="1"/>
    <n v="1"/>
    <n v="3"/>
    <n v="6450000"/>
    <n v="4590.747330960854"/>
    <x v="0"/>
  </r>
  <r>
    <s v="P1567"/>
    <x v="1"/>
    <n v="765"/>
    <n v="1"/>
    <n v="1"/>
    <n v="3"/>
    <s v="Yes"/>
    <s v="No"/>
    <s v="Yes"/>
    <s v="No"/>
    <x v="1"/>
    <n v="2"/>
    <n v="17"/>
    <n v="3050000"/>
    <n v="3986.9281045751636"/>
    <x v="1"/>
  </r>
  <r>
    <s v="P1568"/>
    <x v="6"/>
    <n v="1337"/>
    <n v="3"/>
    <n v="3"/>
    <n v="0"/>
    <s v="No"/>
    <s v="Yes"/>
    <s v="No"/>
    <s v="No"/>
    <x v="0"/>
    <n v="5"/>
    <n v="13"/>
    <n v="11100000"/>
    <n v="8302.1690351533289"/>
    <x v="2"/>
  </r>
  <r>
    <s v="P1569"/>
    <x v="5"/>
    <n v="1270"/>
    <n v="2"/>
    <n v="2"/>
    <n v="22"/>
    <s v="No"/>
    <s v="Yes"/>
    <s v="Yes"/>
    <s v="Yes"/>
    <x v="1"/>
    <n v="6"/>
    <n v="10"/>
    <n v="9200000"/>
    <n v="7244.0944881889764"/>
    <x v="0"/>
  </r>
  <r>
    <s v="P1570"/>
    <x v="0"/>
    <n v="1287"/>
    <n v="3"/>
    <n v="3"/>
    <n v="15"/>
    <s v="Yes"/>
    <s v="No"/>
    <s v="Yes"/>
    <s v="Yes"/>
    <x v="2"/>
    <n v="19"/>
    <n v="24"/>
    <n v="12750000"/>
    <n v="9906.7599067599076"/>
    <x v="2"/>
  </r>
  <r>
    <s v="P1571"/>
    <x v="5"/>
    <n v="1021"/>
    <n v="2"/>
    <n v="2"/>
    <n v="6"/>
    <s v="Yes"/>
    <s v="No"/>
    <s v="No"/>
    <s v="Yes"/>
    <x v="1"/>
    <n v="9"/>
    <n v="10"/>
    <n v="7850000"/>
    <n v="7688.5406464250736"/>
    <x v="0"/>
  </r>
  <r>
    <s v="P1572"/>
    <x v="2"/>
    <n v="1204"/>
    <n v="3"/>
    <n v="4"/>
    <n v="12"/>
    <s v="Yes"/>
    <s v="Yes"/>
    <s v="No"/>
    <s v="No"/>
    <x v="0"/>
    <n v="16"/>
    <n v="16"/>
    <n v="6000000"/>
    <n v="4983.388704318937"/>
    <x v="0"/>
  </r>
  <r>
    <s v="P1573"/>
    <x v="6"/>
    <n v="1315"/>
    <n v="3"/>
    <n v="3"/>
    <n v="26"/>
    <s v="No"/>
    <s v="No"/>
    <s v="No"/>
    <s v="No"/>
    <x v="1"/>
    <n v="13"/>
    <n v="23"/>
    <n v="5950000"/>
    <n v="4524.7148288973385"/>
    <x v="0"/>
  </r>
  <r>
    <s v="P1574"/>
    <x v="5"/>
    <n v="989"/>
    <n v="1"/>
    <n v="1"/>
    <n v="1"/>
    <s v="Yes"/>
    <s v="Yes"/>
    <s v="No"/>
    <s v="No"/>
    <x v="0"/>
    <n v="9"/>
    <n v="14"/>
    <n v="9800000"/>
    <n v="9908.9989888776545"/>
    <x v="0"/>
  </r>
  <r>
    <s v="P1575"/>
    <x v="0"/>
    <n v="1655"/>
    <n v="4"/>
    <n v="4"/>
    <n v="9"/>
    <s v="Yes"/>
    <s v="No"/>
    <s v="No"/>
    <s v="No"/>
    <x v="0"/>
    <n v="15"/>
    <n v="19"/>
    <n v="13000000"/>
    <n v="7854.9848942598192"/>
    <x v="2"/>
  </r>
  <r>
    <s v="P1576"/>
    <x v="2"/>
    <n v="1594"/>
    <n v="4"/>
    <n v="4"/>
    <n v="10"/>
    <s v="Yes"/>
    <s v="No"/>
    <s v="No"/>
    <s v="Yes"/>
    <x v="2"/>
    <n v="10"/>
    <n v="11"/>
    <n v="9500000"/>
    <n v="5959.8494353826854"/>
    <x v="0"/>
  </r>
  <r>
    <s v="P1577"/>
    <x v="5"/>
    <n v="1063"/>
    <n v="2"/>
    <n v="2"/>
    <n v="5"/>
    <s v="Yes"/>
    <s v="Yes"/>
    <s v="No"/>
    <s v="No"/>
    <x v="1"/>
    <n v="19"/>
    <n v="19"/>
    <n v="7350000"/>
    <n v="6914.3932267168393"/>
    <x v="0"/>
  </r>
  <r>
    <s v="P1578"/>
    <x v="1"/>
    <n v="1393"/>
    <n v="3"/>
    <n v="2"/>
    <n v="25"/>
    <s v="Yes"/>
    <s v="No"/>
    <s v="No"/>
    <s v="Yes"/>
    <x v="1"/>
    <n v="4"/>
    <n v="18"/>
    <n v="4250000"/>
    <n v="3050.9691313711414"/>
    <x v="1"/>
  </r>
  <r>
    <s v="P1579"/>
    <x v="3"/>
    <n v="1050"/>
    <n v="2"/>
    <n v="1"/>
    <n v="12"/>
    <s v="Yes"/>
    <s v="Yes"/>
    <s v="No"/>
    <s v="Yes"/>
    <x v="1"/>
    <n v="16"/>
    <n v="17"/>
    <n v="4200000"/>
    <n v="4000"/>
    <x v="1"/>
  </r>
  <r>
    <s v="P1580"/>
    <x v="1"/>
    <n v="1362"/>
    <n v="3"/>
    <n v="3"/>
    <n v="29"/>
    <s v="No"/>
    <s v="No"/>
    <s v="Yes"/>
    <s v="Yes"/>
    <x v="1"/>
    <n v="16"/>
    <n v="18"/>
    <n v="3700000"/>
    <n v="2716.5932452276065"/>
    <x v="1"/>
  </r>
  <r>
    <s v="P1581"/>
    <x v="5"/>
    <n v="1318"/>
    <n v="3"/>
    <n v="4"/>
    <n v="1"/>
    <s v="Yes"/>
    <s v="Yes"/>
    <s v="Yes"/>
    <s v="No"/>
    <x v="0"/>
    <n v="18"/>
    <n v="23"/>
    <n v="13850000"/>
    <n v="10508.345978755691"/>
    <x v="2"/>
  </r>
  <r>
    <s v="P1582"/>
    <x v="6"/>
    <n v="1286"/>
    <n v="2"/>
    <n v="2"/>
    <n v="11"/>
    <s v="Yes"/>
    <s v="Yes"/>
    <s v="No"/>
    <s v="No"/>
    <x v="1"/>
    <n v="12"/>
    <n v="16"/>
    <n v="8700000"/>
    <n v="6765.163297045101"/>
    <x v="0"/>
  </r>
  <r>
    <s v="P1583"/>
    <x v="4"/>
    <n v="1190"/>
    <n v="2"/>
    <n v="2"/>
    <n v="11"/>
    <s v="Yes"/>
    <s v="Yes"/>
    <s v="No"/>
    <s v="Yes"/>
    <x v="1"/>
    <n v="20"/>
    <n v="23"/>
    <n v="6750000"/>
    <n v="5672.2689075630251"/>
    <x v="0"/>
  </r>
  <r>
    <s v="P1584"/>
    <x v="2"/>
    <n v="534"/>
    <n v="1"/>
    <n v="1"/>
    <n v="15"/>
    <s v="Yes"/>
    <s v="Yes"/>
    <s v="Yes"/>
    <s v="Yes"/>
    <x v="0"/>
    <n v="19"/>
    <n v="21"/>
    <n v="2800000"/>
    <n v="5243.4456928838954"/>
    <x v="1"/>
  </r>
  <r>
    <s v="P1585"/>
    <x v="6"/>
    <n v="1297"/>
    <n v="2"/>
    <n v="3"/>
    <n v="12"/>
    <s v="No"/>
    <s v="No"/>
    <s v="No"/>
    <s v="Yes"/>
    <x v="1"/>
    <n v="1"/>
    <n v="18"/>
    <n v="7400000"/>
    <n v="5705.4741711642255"/>
    <x v="0"/>
  </r>
  <r>
    <s v="P1586"/>
    <x v="4"/>
    <n v="1107"/>
    <n v="2"/>
    <n v="2"/>
    <n v="19"/>
    <s v="Yes"/>
    <s v="No"/>
    <s v="No"/>
    <s v="Yes"/>
    <x v="1"/>
    <n v="17"/>
    <n v="23"/>
    <n v="5000000"/>
    <n v="4516.7118337850043"/>
    <x v="0"/>
  </r>
  <r>
    <s v="P1587"/>
    <x v="1"/>
    <n v="1310"/>
    <n v="3"/>
    <n v="2"/>
    <n v="22"/>
    <s v="No"/>
    <s v="Yes"/>
    <s v="No"/>
    <s v="Yes"/>
    <x v="2"/>
    <n v="20"/>
    <n v="21"/>
    <n v="5750000"/>
    <n v="4389.3129770992364"/>
    <x v="0"/>
  </r>
  <r>
    <s v="P1588"/>
    <x v="1"/>
    <n v="955"/>
    <n v="3"/>
    <n v="2"/>
    <n v="30"/>
    <s v="Yes"/>
    <s v="Yes"/>
    <s v="Yes"/>
    <s v="Yes"/>
    <x v="1"/>
    <n v="20"/>
    <n v="20"/>
    <n v="3550000"/>
    <n v="3717.2774869109949"/>
    <x v="1"/>
  </r>
  <r>
    <s v="P1589"/>
    <x v="4"/>
    <n v="936"/>
    <n v="2"/>
    <n v="1"/>
    <n v="24"/>
    <s v="No"/>
    <s v="Yes"/>
    <s v="No"/>
    <s v="No"/>
    <x v="1"/>
    <n v="1"/>
    <n v="23"/>
    <n v="3450000"/>
    <n v="3685.897435897436"/>
    <x v="1"/>
  </r>
  <r>
    <s v="P1590"/>
    <x v="7"/>
    <n v="1560"/>
    <n v="4"/>
    <n v="4"/>
    <n v="9"/>
    <s v="Yes"/>
    <s v="No"/>
    <s v="Yes"/>
    <s v="Yes"/>
    <x v="1"/>
    <n v="17"/>
    <n v="21"/>
    <n v="8100000"/>
    <n v="5192.3076923076924"/>
    <x v="0"/>
  </r>
  <r>
    <s v="P1591"/>
    <x v="0"/>
    <n v="843"/>
    <n v="2"/>
    <n v="2"/>
    <n v="8"/>
    <s v="No"/>
    <s v="Yes"/>
    <s v="Yes"/>
    <s v="Yes"/>
    <x v="0"/>
    <n v="16"/>
    <n v="24"/>
    <n v="7450000"/>
    <n v="8837.4851720047445"/>
    <x v="0"/>
  </r>
  <r>
    <s v="P1592"/>
    <x v="3"/>
    <n v="1185"/>
    <n v="2"/>
    <n v="2"/>
    <n v="17"/>
    <s v="No"/>
    <s v="No"/>
    <s v="No"/>
    <s v="Yes"/>
    <x v="1"/>
    <n v="11"/>
    <n v="22"/>
    <n v="3500000"/>
    <n v="2953.5864978902955"/>
    <x v="1"/>
  </r>
  <r>
    <s v="P1593"/>
    <x v="1"/>
    <n v="578"/>
    <n v="1"/>
    <n v="1"/>
    <n v="19"/>
    <s v="Yes"/>
    <s v="Yes"/>
    <s v="No"/>
    <s v="No"/>
    <x v="0"/>
    <n v="12"/>
    <n v="16"/>
    <n v="2200000"/>
    <n v="3806.2283737024222"/>
    <x v="1"/>
  </r>
  <r>
    <s v="P1594"/>
    <x v="0"/>
    <n v="1281"/>
    <n v="3"/>
    <n v="2"/>
    <n v="17"/>
    <s v="No"/>
    <s v="Yes"/>
    <s v="No"/>
    <s v="Yes"/>
    <x v="0"/>
    <n v="1"/>
    <n v="18"/>
    <n v="9250000"/>
    <n v="7220.9211553473851"/>
    <x v="0"/>
  </r>
  <r>
    <s v="P1595"/>
    <x v="6"/>
    <n v="1744"/>
    <n v="4"/>
    <n v="3"/>
    <n v="21"/>
    <s v="Yes"/>
    <s v="No"/>
    <s v="No"/>
    <s v="Yes"/>
    <x v="1"/>
    <n v="16"/>
    <n v="23"/>
    <n v="10650000"/>
    <n v="6106.6513761467886"/>
    <x v="2"/>
  </r>
  <r>
    <s v="P1596"/>
    <x v="0"/>
    <n v="825"/>
    <n v="1"/>
    <n v="1"/>
    <n v="22"/>
    <s v="Yes"/>
    <s v="Yes"/>
    <s v="No"/>
    <s v="Yes"/>
    <x v="0"/>
    <n v="10"/>
    <n v="22"/>
    <n v="5800000"/>
    <n v="7030.30303030303"/>
    <x v="0"/>
  </r>
  <r>
    <s v="P1597"/>
    <x v="6"/>
    <n v="2045"/>
    <n v="4"/>
    <n v="3"/>
    <n v="22"/>
    <s v="Yes"/>
    <s v="Yes"/>
    <s v="No"/>
    <s v="Yes"/>
    <x v="1"/>
    <n v="19"/>
    <n v="23"/>
    <n v="12500000"/>
    <n v="6112.4694376528114"/>
    <x v="2"/>
  </r>
  <r>
    <s v="P1598"/>
    <x v="4"/>
    <n v="1090"/>
    <n v="2"/>
    <n v="2"/>
    <n v="16"/>
    <s v="Yes"/>
    <s v="Yes"/>
    <s v="No"/>
    <s v="No"/>
    <x v="1"/>
    <n v="15"/>
    <n v="20"/>
    <n v="5500000"/>
    <n v="5045.8715596330276"/>
    <x v="0"/>
  </r>
  <r>
    <s v="P1599"/>
    <x v="0"/>
    <n v="693"/>
    <n v="1"/>
    <n v="2"/>
    <n v="6"/>
    <s v="Yes"/>
    <s v="Yes"/>
    <s v="No"/>
    <s v="Yes"/>
    <x v="2"/>
    <n v="5"/>
    <n v="7"/>
    <n v="6300000"/>
    <n v="9090.9090909090901"/>
    <x v="0"/>
  </r>
  <r>
    <s v="P1600"/>
    <x v="5"/>
    <n v="1083"/>
    <n v="2"/>
    <n v="3"/>
    <n v="27"/>
    <s v="Yes"/>
    <s v="No"/>
    <s v="No"/>
    <s v="Yes"/>
    <x v="0"/>
    <n v="19"/>
    <n v="20"/>
    <n v="7700000"/>
    <n v="7109.8799630655585"/>
    <x v="0"/>
  </r>
  <r>
    <s v="P1601"/>
    <x v="5"/>
    <n v="567"/>
    <n v="1"/>
    <n v="1"/>
    <n v="17"/>
    <s v="Yes"/>
    <s v="Yes"/>
    <s v="No"/>
    <s v="Yes"/>
    <x v="1"/>
    <n v="10"/>
    <n v="20"/>
    <n v="4250000"/>
    <n v="7495.5908289241625"/>
    <x v="1"/>
  </r>
  <r>
    <s v="P1602"/>
    <x v="6"/>
    <n v="2213"/>
    <n v="5"/>
    <n v="4"/>
    <n v="19"/>
    <s v="Yes"/>
    <s v="No"/>
    <s v="No"/>
    <s v="No"/>
    <x v="1"/>
    <n v="13"/>
    <n v="17"/>
    <n v="12200000"/>
    <n v="5512.8784455490286"/>
    <x v="2"/>
  </r>
  <r>
    <s v="P1603"/>
    <x v="6"/>
    <n v="1491"/>
    <n v="3"/>
    <n v="3"/>
    <n v="10"/>
    <s v="Yes"/>
    <s v="No"/>
    <s v="No"/>
    <s v="Yes"/>
    <x v="1"/>
    <n v="6"/>
    <n v="23"/>
    <n v="9050000"/>
    <n v="6069.7518443997315"/>
    <x v="0"/>
  </r>
  <r>
    <s v="P1604"/>
    <x v="2"/>
    <n v="1178"/>
    <n v="3"/>
    <n v="3"/>
    <n v="13"/>
    <s v="Yes"/>
    <s v="Yes"/>
    <s v="No"/>
    <s v="No"/>
    <x v="1"/>
    <n v="19"/>
    <n v="23"/>
    <n v="5450000"/>
    <n v="4626.4855687606114"/>
    <x v="0"/>
  </r>
  <r>
    <s v="P1605"/>
    <x v="7"/>
    <n v="1051"/>
    <n v="2"/>
    <n v="3"/>
    <n v="16"/>
    <s v="No"/>
    <s v="Yes"/>
    <s v="No"/>
    <s v="Yes"/>
    <x v="1"/>
    <n v="3"/>
    <n v="17"/>
    <n v="5200000"/>
    <n v="4947.6688867745006"/>
    <x v="0"/>
  </r>
  <r>
    <s v="P1606"/>
    <x v="5"/>
    <n v="1493"/>
    <n v="3"/>
    <n v="3"/>
    <n v="15"/>
    <s v="No"/>
    <s v="Yes"/>
    <s v="Yes"/>
    <s v="Yes"/>
    <x v="1"/>
    <n v="8"/>
    <n v="13"/>
    <n v="12450000"/>
    <n v="8338.9149363697252"/>
    <x v="2"/>
  </r>
  <r>
    <s v="P1607"/>
    <x v="5"/>
    <n v="1334"/>
    <n v="3"/>
    <n v="3"/>
    <n v="30"/>
    <s v="Yes"/>
    <s v="Yes"/>
    <s v="No"/>
    <s v="Yes"/>
    <x v="0"/>
    <n v="16"/>
    <n v="23"/>
    <n v="8400000"/>
    <n v="6296.8515742128939"/>
    <x v="0"/>
  </r>
  <r>
    <s v="P1608"/>
    <x v="1"/>
    <n v="1354"/>
    <n v="3"/>
    <n v="3"/>
    <n v="14"/>
    <s v="Yes"/>
    <s v="Yes"/>
    <s v="No"/>
    <s v="No"/>
    <x v="1"/>
    <n v="9"/>
    <n v="18"/>
    <n v="4400000"/>
    <n v="3249.6307237813885"/>
    <x v="1"/>
  </r>
  <r>
    <s v="P1609"/>
    <x v="2"/>
    <n v="1045"/>
    <n v="2"/>
    <n v="2"/>
    <n v="27"/>
    <s v="Yes"/>
    <s v="No"/>
    <s v="No"/>
    <s v="Yes"/>
    <x v="1"/>
    <n v="14"/>
    <n v="23"/>
    <n v="3950000"/>
    <n v="3779.9043062200958"/>
    <x v="1"/>
  </r>
  <r>
    <s v="P1610"/>
    <x v="6"/>
    <n v="1425"/>
    <n v="4"/>
    <n v="4"/>
    <n v="5"/>
    <s v="Yes"/>
    <s v="Yes"/>
    <s v="No"/>
    <s v="Yes"/>
    <x v="1"/>
    <n v="4"/>
    <n v="4"/>
    <n v="10050000"/>
    <n v="7052.6315789473683"/>
    <x v="2"/>
  </r>
  <r>
    <s v="P1611"/>
    <x v="7"/>
    <n v="1488"/>
    <n v="4"/>
    <n v="4"/>
    <n v="23"/>
    <s v="Yes"/>
    <s v="No"/>
    <s v="No"/>
    <s v="Yes"/>
    <x v="1"/>
    <n v="6"/>
    <n v="6"/>
    <n v="7400000"/>
    <n v="4973.1182795698924"/>
    <x v="0"/>
  </r>
  <r>
    <s v="P1612"/>
    <x v="1"/>
    <n v="969"/>
    <n v="2"/>
    <n v="3"/>
    <n v="13"/>
    <s v="Yes"/>
    <s v="No"/>
    <s v="Yes"/>
    <s v="Yes"/>
    <x v="1"/>
    <n v="7"/>
    <n v="16"/>
    <n v="3150000"/>
    <n v="3250.7739938080495"/>
    <x v="1"/>
  </r>
  <r>
    <s v="P1613"/>
    <x v="4"/>
    <n v="1388"/>
    <n v="3"/>
    <n v="4"/>
    <n v="14"/>
    <s v="Yes"/>
    <s v="Yes"/>
    <s v="Yes"/>
    <s v="No"/>
    <x v="1"/>
    <n v="5"/>
    <n v="13"/>
    <n v="7200000"/>
    <n v="5187.3198847262247"/>
    <x v="0"/>
  </r>
  <r>
    <s v="P1614"/>
    <x v="1"/>
    <n v="1680"/>
    <n v="4"/>
    <n v="3"/>
    <n v="24"/>
    <s v="Yes"/>
    <s v="No"/>
    <s v="No"/>
    <s v="No"/>
    <x v="0"/>
    <n v="19"/>
    <n v="22"/>
    <n v="5350000"/>
    <n v="3184.5238095238096"/>
    <x v="0"/>
  </r>
  <r>
    <s v="P1615"/>
    <x v="7"/>
    <n v="1051"/>
    <n v="3"/>
    <n v="2"/>
    <n v="16"/>
    <s v="Yes"/>
    <s v="Yes"/>
    <s v="No"/>
    <s v="Yes"/>
    <x v="1"/>
    <n v="18"/>
    <n v="21"/>
    <n v="5900000"/>
    <n v="5613.7012369172216"/>
    <x v="0"/>
  </r>
  <r>
    <s v="P1616"/>
    <x v="6"/>
    <n v="1973"/>
    <n v="5"/>
    <n v="4"/>
    <n v="5"/>
    <s v="Yes"/>
    <s v="No"/>
    <s v="No"/>
    <s v="Yes"/>
    <x v="1"/>
    <n v="9"/>
    <n v="14"/>
    <n v="11600000"/>
    <n v="5879.3715154586926"/>
    <x v="2"/>
  </r>
  <r>
    <s v="P1617"/>
    <x v="2"/>
    <n v="1453"/>
    <n v="3"/>
    <n v="4"/>
    <n v="21"/>
    <s v="Yes"/>
    <s v="No"/>
    <s v="Yes"/>
    <s v="Yes"/>
    <x v="1"/>
    <n v="9"/>
    <n v="19"/>
    <n v="6200000"/>
    <n v="4267.0337233310393"/>
    <x v="0"/>
  </r>
  <r>
    <s v="P1618"/>
    <x v="3"/>
    <n v="1202"/>
    <n v="2"/>
    <n v="3"/>
    <n v="30"/>
    <s v="Yes"/>
    <s v="Yes"/>
    <s v="No"/>
    <s v="Yes"/>
    <x v="1"/>
    <n v="17"/>
    <n v="21"/>
    <n v="3450000"/>
    <n v="2870.2163061564061"/>
    <x v="1"/>
  </r>
  <r>
    <s v="P1619"/>
    <x v="7"/>
    <n v="1403"/>
    <n v="3"/>
    <n v="4"/>
    <n v="4"/>
    <s v="Yes"/>
    <s v="Yes"/>
    <s v="Yes"/>
    <s v="No"/>
    <x v="1"/>
    <n v="4"/>
    <n v="22"/>
    <n v="9600000"/>
    <n v="6842.4803991446897"/>
    <x v="0"/>
  </r>
  <r>
    <s v="P1620"/>
    <x v="5"/>
    <n v="1210"/>
    <n v="3"/>
    <n v="3"/>
    <n v="11"/>
    <s v="Yes"/>
    <s v="No"/>
    <s v="No"/>
    <s v="Yes"/>
    <x v="1"/>
    <n v="9"/>
    <n v="21"/>
    <n v="8600000"/>
    <n v="7107.4380165289258"/>
    <x v="0"/>
  </r>
  <r>
    <s v="P1621"/>
    <x v="7"/>
    <n v="1409"/>
    <n v="4"/>
    <n v="4"/>
    <n v="29"/>
    <s v="Yes"/>
    <s v="Yes"/>
    <s v="Yes"/>
    <s v="Yes"/>
    <x v="1"/>
    <n v="20"/>
    <n v="24"/>
    <n v="7850000"/>
    <n v="5571.3271823988644"/>
    <x v="0"/>
  </r>
  <r>
    <s v="P1622"/>
    <x v="7"/>
    <n v="1398"/>
    <n v="3"/>
    <n v="3"/>
    <n v="17"/>
    <s v="Yes"/>
    <s v="Yes"/>
    <s v="No"/>
    <s v="Yes"/>
    <x v="0"/>
    <n v="7"/>
    <n v="22"/>
    <n v="9900000"/>
    <n v="7081.5450643776821"/>
    <x v="0"/>
  </r>
  <r>
    <s v="P1623"/>
    <x v="1"/>
    <n v="1406"/>
    <n v="3"/>
    <n v="4"/>
    <n v="16"/>
    <s v="Yes"/>
    <s v="No"/>
    <s v="Yes"/>
    <s v="Yes"/>
    <x v="1"/>
    <n v="5"/>
    <n v="15"/>
    <n v="5250000"/>
    <n v="3733.9971550497867"/>
    <x v="0"/>
  </r>
  <r>
    <s v="P1624"/>
    <x v="2"/>
    <n v="1087"/>
    <n v="3"/>
    <n v="2"/>
    <n v="22"/>
    <s v="Yes"/>
    <s v="Yes"/>
    <s v="No"/>
    <s v="Yes"/>
    <x v="1"/>
    <n v="11"/>
    <n v="14"/>
    <n v="5350000"/>
    <n v="4921.8031278748849"/>
    <x v="0"/>
  </r>
  <r>
    <s v="P1625"/>
    <x v="7"/>
    <n v="867"/>
    <n v="2"/>
    <n v="2"/>
    <n v="3"/>
    <s v="Yes"/>
    <s v="Yes"/>
    <s v="No"/>
    <s v="Yes"/>
    <x v="1"/>
    <n v="17"/>
    <n v="20"/>
    <n v="6600000"/>
    <n v="7612.4567474048445"/>
    <x v="0"/>
  </r>
  <r>
    <s v="P1626"/>
    <x v="7"/>
    <n v="1642"/>
    <n v="4"/>
    <n v="4"/>
    <n v="25"/>
    <s v="Yes"/>
    <s v="Yes"/>
    <s v="No"/>
    <s v="Yes"/>
    <x v="1"/>
    <n v="1"/>
    <n v="5"/>
    <n v="8400000"/>
    <n v="5115.712545676005"/>
    <x v="0"/>
  </r>
  <r>
    <s v="P1627"/>
    <x v="3"/>
    <n v="1414"/>
    <n v="3"/>
    <n v="2"/>
    <n v="21"/>
    <s v="No"/>
    <s v="No"/>
    <s v="No"/>
    <s v="Yes"/>
    <x v="2"/>
    <n v="5"/>
    <n v="15"/>
    <n v="5350000"/>
    <n v="3783.5926449787835"/>
    <x v="0"/>
  </r>
  <r>
    <s v="P1628"/>
    <x v="0"/>
    <n v="1344"/>
    <n v="3"/>
    <n v="3"/>
    <n v="28"/>
    <s v="No"/>
    <s v="No"/>
    <s v="No"/>
    <s v="Yes"/>
    <x v="1"/>
    <n v="19"/>
    <n v="24"/>
    <n v="8650000"/>
    <n v="6436.0119047619046"/>
    <x v="0"/>
  </r>
  <r>
    <s v="P1629"/>
    <x v="6"/>
    <n v="1099"/>
    <n v="3"/>
    <n v="3"/>
    <n v="12"/>
    <s v="No"/>
    <s v="No"/>
    <s v="No"/>
    <s v="Yes"/>
    <x v="0"/>
    <n v="1"/>
    <n v="6"/>
    <n v="6550000"/>
    <n v="5959.9636032757053"/>
    <x v="0"/>
  </r>
  <r>
    <s v="P1630"/>
    <x v="1"/>
    <n v="1176"/>
    <n v="1"/>
    <n v="1"/>
    <n v="9"/>
    <s v="Yes"/>
    <s v="Yes"/>
    <s v="Yes"/>
    <s v="Yes"/>
    <x v="1"/>
    <n v="17"/>
    <n v="20"/>
    <n v="4750000"/>
    <n v="4039.1156462585036"/>
    <x v="1"/>
  </r>
  <r>
    <s v="P1631"/>
    <x v="7"/>
    <n v="1081"/>
    <n v="2"/>
    <n v="1"/>
    <n v="23"/>
    <s v="Yes"/>
    <s v="No"/>
    <s v="Yes"/>
    <s v="Yes"/>
    <x v="1"/>
    <n v="18"/>
    <n v="22"/>
    <n v="6150000"/>
    <n v="5689.1766882516185"/>
    <x v="0"/>
  </r>
  <r>
    <s v="P1632"/>
    <x v="0"/>
    <n v="1841"/>
    <n v="4"/>
    <n v="5"/>
    <n v="1"/>
    <s v="No"/>
    <s v="Yes"/>
    <s v="No"/>
    <s v="Yes"/>
    <x v="1"/>
    <n v="1"/>
    <n v="5"/>
    <n v="15750000"/>
    <n v="8555.1330798479084"/>
    <x v="2"/>
  </r>
  <r>
    <s v="P1633"/>
    <x v="0"/>
    <n v="1249"/>
    <n v="3"/>
    <n v="2"/>
    <n v="12"/>
    <s v="Yes"/>
    <s v="Yes"/>
    <s v="No"/>
    <s v="No"/>
    <x v="1"/>
    <n v="20"/>
    <n v="21"/>
    <n v="8100000"/>
    <n v="6485.1881505204165"/>
    <x v="0"/>
  </r>
  <r>
    <s v="P1634"/>
    <x v="2"/>
    <n v="1368"/>
    <n v="3"/>
    <n v="3"/>
    <n v="18"/>
    <s v="No"/>
    <s v="No"/>
    <s v="No"/>
    <s v="Yes"/>
    <x v="0"/>
    <n v="18"/>
    <n v="18"/>
    <n v="4950000"/>
    <n v="3618.4210526315787"/>
    <x v="1"/>
  </r>
  <r>
    <s v="P1635"/>
    <x v="3"/>
    <n v="997"/>
    <n v="2"/>
    <n v="3"/>
    <n v="10"/>
    <s v="Yes"/>
    <s v="Yes"/>
    <s v="Yes"/>
    <s v="Yes"/>
    <x v="1"/>
    <n v="8"/>
    <n v="17"/>
    <n v="4150000"/>
    <n v="4162.487462387161"/>
    <x v="1"/>
  </r>
  <r>
    <s v="P1636"/>
    <x v="3"/>
    <n v="971"/>
    <n v="2"/>
    <n v="2"/>
    <n v="8"/>
    <s v="Yes"/>
    <s v="Yes"/>
    <s v="No"/>
    <s v="Yes"/>
    <x v="1"/>
    <n v="20"/>
    <n v="22"/>
    <n v="4250000"/>
    <n v="4376.9309989701342"/>
    <x v="1"/>
  </r>
  <r>
    <s v="P1637"/>
    <x v="0"/>
    <n v="1067"/>
    <n v="2"/>
    <n v="2"/>
    <n v="4"/>
    <s v="Yes"/>
    <s v="Yes"/>
    <s v="No"/>
    <s v="Yes"/>
    <x v="2"/>
    <n v="14"/>
    <n v="16"/>
    <n v="11750000"/>
    <n v="11012.183692596063"/>
    <x v="2"/>
  </r>
  <r>
    <s v="P1638"/>
    <x v="3"/>
    <n v="1330"/>
    <n v="3"/>
    <n v="4"/>
    <n v="19"/>
    <s v="Yes"/>
    <s v="No"/>
    <s v="No"/>
    <s v="Yes"/>
    <x v="1"/>
    <n v="4"/>
    <n v="14"/>
    <n v="4250000"/>
    <n v="3195.4887218045114"/>
    <x v="1"/>
  </r>
  <r>
    <s v="P1639"/>
    <x v="4"/>
    <n v="1366"/>
    <n v="3"/>
    <n v="3"/>
    <n v="24"/>
    <s v="Yes"/>
    <s v="Yes"/>
    <s v="No"/>
    <s v="Yes"/>
    <x v="0"/>
    <n v="12"/>
    <n v="17"/>
    <n v="6450000"/>
    <n v="4721.8155197657397"/>
    <x v="0"/>
  </r>
  <r>
    <s v="P1640"/>
    <x v="6"/>
    <n v="1264"/>
    <n v="3"/>
    <n v="3"/>
    <n v="25"/>
    <s v="No"/>
    <s v="Yes"/>
    <s v="No"/>
    <s v="Yes"/>
    <x v="0"/>
    <n v="1"/>
    <n v="16"/>
    <n v="8600000"/>
    <n v="6803.7974683544307"/>
    <x v="0"/>
  </r>
  <r>
    <s v="P1641"/>
    <x v="5"/>
    <n v="1630"/>
    <n v="4"/>
    <n v="3"/>
    <n v="30"/>
    <s v="No"/>
    <s v="No"/>
    <s v="No"/>
    <s v="Yes"/>
    <x v="0"/>
    <n v="16"/>
    <n v="16"/>
    <n v="10400000"/>
    <n v="6380.3680981595089"/>
    <x v="2"/>
  </r>
  <r>
    <s v="P1642"/>
    <x v="3"/>
    <n v="1395"/>
    <n v="3"/>
    <n v="4"/>
    <n v="0"/>
    <s v="Yes"/>
    <s v="No"/>
    <s v="No"/>
    <s v="Yes"/>
    <x v="2"/>
    <n v="18"/>
    <n v="22"/>
    <n v="7100000"/>
    <n v="5089.6057347670248"/>
    <x v="0"/>
  </r>
  <r>
    <s v="P1643"/>
    <x v="0"/>
    <n v="970"/>
    <n v="1"/>
    <n v="1"/>
    <n v="12"/>
    <s v="Yes"/>
    <s v="Yes"/>
    <s v="No"/>
    <s v="Yes"/>
    <x v="1"/>
    <n v="17"/>
    <n v="23"/>
    <n v="6850000"/>
    <n v="7061.855670103093"/>
    <x v="0"/>
  </r>
  <r>
    <s v="P1644"/>
    <x v="1"/>
    <n v="1080"/>
    <n v="2"/>
    <n v="2"/>
    <n v="7"/>
    <s v="No"/>
    <s v="No"/>
    <s v="No"/>
    <s v="Yes"/>
    <x v="1"/>
    <n v="9"/>
    <n v="19"/>
    <n v="3650000"/>
    <n v="3379.6296296296296"/>
    <x v="1"/>
  </r>
  <r>
    <s v="P1645"/>
    <x v="1"/>
    <n v="1160"/>
    <n v="3"/>
    <n v="4"/>
    <n v="5"/>
    <s v="Yes"/>
    <s v="No"/>
    <s v="No"/>
    <s v="No"/>
    <x v="1"/>
    <n v="15"/>
    <n v="22"/>
    <n v="3500000"/>
    <n v="3017.2413793103447"/>
    <x v="1"/>
  </r>
  <r>
    <s v="P1646"/>
    <x v="7"/>
    <n v="1358"/>
    <n v="3"/>
    <n v="3"/>
    <n v="2"/>
    <s v="Yes"/>
    <s v="No"/>
    <s v="No"/>
    <s v="Yes"/>
    <x v="2"/>
    <n v="11"/>
    <n v="11"/>
    <n v="12200000"/>
    <n v="8983.7997054491898"/>
    <x v="2"/>
  </r>
  <r>
    <s v="P1647"/>
    <x v="2"/>
    <n v="1634"/>
    <n v="4"/>
    <n v="4"/>
    <n v="2"/>
    <s v="Yes"/>
    <s v="No"/>
    <s v="No"/>
    <s v="Yes"/>
    <x v="1"/>
    <n v="16"/>
    <n v="19"/>
    <n v="8150000"/>
    <n v="4987.7600979192166"/>
    <x v="0"/>
  </r>
  <r>
    <s v="P1648"/>
    <x v="6"/>
    <n v="2161"/>
    <n v="5"/>
    <n v="5"/>
    <n v="7"/>
    <s v="Yes"/>
    <s v="Yes"/>
    <s v="No"/>
    <s v="Yes"/>
    <x v="1"/>
    <n v="19"/>
    <n v="19"/>
    <n v="14100000"/>
    <n v="6524.7570569180934"/>
    <x v="2"/>
  </r>
  <r>
    <s v="P1649"/>
    <x v="3"/>
    <n v="1397"/>
    <n v="3"/>
    <n v="3"/>
    <n v="17"/>
    <s v="Yes"/>
    <s v="Yes"/>
    <s v="Yes"/>
    <s v="Yes"/>
    <x v="1"/>
    <n v="2"/>
    <n v="9"/>
    <n v="5600000"/>
    <n v="4008.5898353614889"/>
    <x v="0"/>
  </r>
  <r>
    <s v="P1650"/>
    <x v="1"/>
    <n v="1346"/>
    <n v="2"/>
    <n v="2"/>
    <n v="3"/>
    <s v="No"/>
    <s v="Yes"/>
    <s v="No"/>
    <s v="No"/>
    <x v="1"/>
    <n v="19"/>
    <n v="22"/>
    <n v="5550000"/>
    <n v="4123.3283803863296"/>
    <x v="0"/>
  </r>
  <r>
    <s v="P1651"/>
    <x v="4"/>
    <n v="1399"/>
    <n v="3"/>
    <n v="4"/>
    <n v="18"/>
    <s v="Yes"/>
    <s v="No"/>
    <s v="Yes"/>
    <s v="Yes"/>
    <x v="1"/>
    <n v="2"/>
    <n v="11"/>
    <n v="6800000"/>
    <n v="4860.6147248034313"/>
    <x v="0"/>
  </r>
  <r>
    <s v="P1652"/>
    <x v="6"/>
    <n v="1312"/>
    <n v="3"/>
    <n v="3"/>
    <n v="0"/>
    <s v="Yes"/>
    <s v="No"/>
    <s v="No"/>
    <s v="Yes"/>
    <x v="1"/>
    <n v="18"/>
    <n v="21"/>
    <n v="8300000"/>
    <n v="6326.2195121951218"/>
    <x v="0"/>
  </r>
  <r>
    <s v="P1653"/>
    <x v="4"/>
    <n v="1221"/>
    <n v="2"/>
    <n v="2"/>
    <n v="16"/>
    <s v="Yes"/>
    <s v="No"/>
    <s v="No"/>
    <s v="Yes"/>
    <x v="0"/>
    <n v="1"/>
    <n v="17"/>
    <n v="7100000"/>
    <n v="5814.9058149058146"/>
    <x v="0"/>
  </r>
  <r>
    <s v="P1654"/>
    <x v="3"/>
    <n v="1041"/>
    <n v="1"/>
    <n v="1"/>
    <n v="12"/>
    <s v="Yes"/>
    <s v="Yes"/>
    <s v="Yes"/>
    <s v="No"/>
    <x v="1"/>
    <n v="15"/>
    <n v="22"/>
    <n v="4450000"/>
    <n v="4274.735830931796"/>
    <x v="1"/>
  </r>
  <r>
    <s v="P1655"/>
    <x v="0"/>
    <n v="1061"/>
    <n v="2"/>
    <n v="3"/>
    <n v="18"/>
    <s v="Yes"/>
    <s v="No"/>
    <s v="No"/>
    <s v="No"/>
    <x v="1"/>
    <n v="9"/>
    <n v="11"/>
    <n v="6400000"/>
    <n v="6032.0452403393028"/>
    <x v="0"/>
  </r>
  <r>
    <s v="P1656"/>
    <x v="2"/>
    <n v="943"/>
    <n v="2"/>
    <n v="2"/>
    <n v="30"/>
    <s v="Yes"/>
    <s v="No"/>
    <s v="No"/>
    <s v="Yes"/>
    <x v="2"/>
    <n v="5"/>
    <n v="22"/>
    <n v="4450000"/>
    <n v="4718.9819724284198"/>
    <x v="1"/>
  </r>
  <r>
    <s v="P1657"/>
    <x v="2"/>
    <n v="979"/>
    <n v="2"/>
    <n v="1"/>
    <n v="24"/>
    <s v="Yes"/>
    <s v="Yes"/>
    <s v="No"/>
    <s v="No"/>
    <x v="0"/>
    <n v="11"/>
    <n v="21"/>
    <n v="5350000"/>
    <n v="5464.7599591419812"/>
    <x v="0"/>
  </r>
  <r>
    <s v="P1658"/>
    <x v="0"/>
    <n v="1254"/>
    <n v="2"/>
    <n v="2"/>
    <n v="11"/>
    <s v="No"/>
    <s v="Yes"/>
    <s v="No"/>
    <s v="Yes"/>
    <x v="1"/>
    <n v="20"/>
    <n v="21"/>
    <n v="8650000"/>
    <n v="6897.9266347687399"/>
    <x v="0"/>
  </r>
  <r>
    <s v="P1659"/>
    <x v="0"/>
    <n v="1730"/>
    <n v="4"/>
    <n v="3"/>
    <n v="8"/>
    <s v="Yes"/>
    <s v="Yes"/>
    <s v="Yes"/>
    <s v="Yes"/>
    <x v="1"/>
    <n v="15"/>
    <n v="17"/>
    <n v="14500000"/>
    <n v="8381.5028901734113"/>
    <x v="2"/>
  </r>
  <r>
    <s v="P1660"/>
    <x v="1"/>
    <n v="1107"/>
    <n v="2"/>
    <n v="2"/>
    <n v="6"/>
    <s v="No"/>
    <s v="Yes"/>
    <s v="No"/>
    <s v="Yes"/>
    <x v="1"/>
    <n v="16"/>
    <n v="22"/>
    <n v="3600000"/>
    <n v="3252.0325203252032"/>
    <x v="1"/>
  </r>
  <r>
    <s v="P1661"/>
    <x v="3"/>
    <n v="1411"/>
    <n v="4"/>
    <n v="4"/>
    <n v="27"/>
    <s v="No"/>
    <s v="Yes"/>
    <s v="No"/>
    <s v="Yes"/>
    <x v="0"/>
    <n v="7"/>
    <n v="24"/>
    <n v="5450000"/>
    <n v="3862.5088589652728"/>
    <x v="0"/>
  </r>
  <r>
    <s v="P1662"/>
    <x v="4"/>
    <n v="1524"/>
    <n v="3"/>
    <n v="3"/>
    <n v="28"/>
    <s v="Yes"/>
    <s v="Yes"/>
    <s v="No"/>
    <s v="Yes"/>
    <x v="0"/>
    <n v="6"/>
    <n v="16"/>
    <n v="7700000"/>
    <n v="5052.4934383202099"/>
    <x v="0"/>
  </r>
  <r>
    <s v="P1663"/>
    <x v="5"/>
    <n v="1659"/>
    <n v="4"/>
    <n v="5"/>
    <n v="10"/>
    <s v="No"/>
    <s v="Yes"/>
    <s v="No"/>
    <s v="No"/>
    <x v="1"/>
    <n v="3"/>
    <n v="22"/>
    <n v="13250000"/>
    <n v="7986.7389993972274"/>
    <x v="2"/>
  </r>
  <r>
    <s v="P1664"/>
    <x v="3"/>
    <n v="1741"/>
    <n v="4"/>
    <n v="5"/>
    <n v="20"/>
    <s v="No"/>
    <s v="No"/>
    <s v="Yes"/>
    <s v="Yes"/>
    <x v="1"/>
    <n v="13"/>
    <n v="24"/>
    <n v="6100000"/>
    <n v="3503.7334865020102"/>
    <x v="0"/>
  </r>
  <r>
    <s v="P1665"/>
    <x v="6"/>
    <n v="1154"/>
    <n v="2"/>
    <n v="1"/>
    <n v="10"/>
    <s v="Yes"/>
    <s v="Yes"/>
    <s v="Yes"/>
    <s v="Yes"/>
    <x v="2"/>
    <n v="13"/>
    <n v="23"/>
    <n v="11900000"/>
    <n v="10311.958405545927"/>
    <x v="2"/>
  </r>
  <r>
    <s v="P1666"/>
    <x v="3"/>
    <n v="1144"/>
    <n v="3"/>
    <n v="3"/>
    <n v="2"/>
    <s v="No"/>
    <s v="No"/>
    <s v="No"/>
    <s v="Yes"/>
    <x v="1"/>
    <n v="14"/>
    <n v="17"/>
    <n v="3750000"/>
    <n v="3277.9720279720282"/>
    <x v="1"/>
  </r>
  <r>
    <s v="P1667"/>
    <x v="3"/>
    <n v="2154"/>
    <n v="5"/>
    <n v="4"/>
    <n v="28"/>
    <s v="No"/>
    <s v="No"/>
    <s v="Yes"/>
    <s v="Yes"/>
    <x v="1"/>
    <n v="9"/>
    <n v="17"/>
    <n v="6250000"/>
    <n v="2901.5784586815225"/>
    <x v="0"/>
  </r>
  <r>
    <s v="P1668"/>
    <x v="6"/>
    <n v="2004"/>
    <n v="4"/>
    <n v="5"/>
    <n v="22"/>
    <s v="Yes"/>
    <s v="Yes"/>
    <s v="Yes"/>
    <s v="Yes"/>
    <x v="1"/>
    <n v="15"/>
    <n v="22"/>
    <n v="13400000"/>
    <n v="6686.6267465069859"/>
    <x v="2"/>
  </r>
  <r>
    <s v="P1669"/>
    <x v="1"/>
    <n v="1493"/>
    <n v="3"/>
    <n v="3"/>
    <n v="3"/>
    <s v="Yes"/>
    <s v="Yes"/>
    <s v="No"/>
    <s v="Yes"/>
    <x v="2"/>
    <n v="5"/>
    <n v="23"/>
    <n v="7200000"/>
    <n v="4822.5050234427326"/>
    <x v="0"/>
  </r>
  <r>
    <s v="P1670"/>
    <x v="5"/>
    <n v="832"/>
    <n v="2"/>
    <n v="3"/>
    <n v="24"/>
    <s v="Yes"/>
    <s v="Yes"/>
    <s v="No"/>
    <s v="No"/>
    <x v="1"/>
    <n v="5"/>
    <n v="7"/>
    <n v="5750000"/>
    <n v="6911.0576923076924"/>
    <x v="0"/>
  </r>
  <r>
    <s v="P1671"/>
    <x v="7"/>
    <n v="1215"/>
    <n v="2"/>
    <n v="2"/>
    <n v="28"/>
    <s v="No"/>
    <s v="No"/>
    <s v="No"/>
    <s v="Yes"/>
    <x v="1"/>
    <n v="12"/>
    <n v="22"/>
    <n v="5600000"/>
    <n v="4609.0534979423865"/>
    <x v="0"/>
  </r>
  <r>
    <s v="P1672"/>
    <x v="5"/>
    <n v="2110"/>
    <n v="5"/>
    <n v="5"/>
    <n v="24"/>
    <s v="Yes"/>
    <s v="No"/>
    <s v="No"/>
    <s v="Yes"/>
    <x v="1"/>
    <n v="17"/>
    <n v="18"/>
    <n v="12650000"/>
    <n v="5995.2606635071088"/>
    <x v="2"/>
  </r>
  <r>
    <s v="P1673"/>
    <x v="4"/>
    <n v="1205"/>
    <n v="2"/>
    <n v="2"/>
    <n v="26"/>
    <s v="Yes"/>
    <s v="No"/>
    <s v="No"/>
    <s v="Yes"/>
    <x v="1"/>
    <n v="12"/>
    <n v="17"/>
    <n v="4700000"/>
    <n v="3900.4149377593362"/>
    <x v="1"/>
  </r>
  <r>
    <s v="P1674"/>
    <x v="4"/>
    <n v="1191"/>
    <n v="3"/>
    <n v="3"/>
    <n v="22"/>
    <s v="No"/>
    <s v="No"/>
    <s v="No"/>
    <s v="Yes"/>
    <x v="0"/>
    <n v="14"/>
    <n v="15"/>
    <n v="5950000"/>
    <n v="4995.8018471872374"/>
    <x v="0"/>
  </r>
  <r>
    <s v="P1675"/>
    <x v="3"/>
    <n v="1587"/>
    <n v="3"/>
    <n v="3"/>
    <n v="9"/>
    <s v="No"/>
    <s v="No"/>
    <s v="No"/>
    <s v="Yes"/>
    <x v="1"/>
    <n v="15"/>
    <n v="20"/>
    <n v="4800000"/>
    <n v="3024.5746691871454"/>
    <x v="1"/>
  </r>
  <r>
    <s v="P1676"/>
    <x v="5"/>
    <n v="722"/>
    <n v="1"/>
    <n v="1"/>
    <n v="29"/>
    <s v="No"/>
    <s v="Yes"/>
    <s v="No"/>
    <s v="Yes"/>
    <x v="1"/>
    <n v="19"/>
    <n v="19"/>
    <n v="5350000"/>
    <n v="7409.972299168975"/>
    <x v="0"/>
  </r>
  <r>
    <s v="P1677"/>
    <x v="6"/>
    <n v="1234"/>
    <n v="3"/>
    <n v="4"/>
    <n v="7"/>
    <s v="Yes"/>
    <s v="Yes"/>
    <s v="No"/>
    <s v="Yes"/>
    <x v="2"/>
    <n v="20"/>
    <n v="23"/>
    <n v="12450000"/>
    <n v="10089.141004862237"/>
    <x v="2"/>
  </r>
  <r>
    <s v="P1678"/>
    <x v="1"/>
    <n v="1657"/>
    <n v="4"/>
    <n v="3"/>
    <n v="22"/>
    <s v="Yes"/>
    <s v="Yes"/>
    <s v="No"/>
    <s v="Yes"/>
    <x v="1"/>
    <n v="9"/>
    <n v="14"/>
    <n v="5550000"/>
    <n v="3349.4266747133374"/>
    <x v="0"/>
  </r>
  <r>
    <s v="P1679"/>
    <x v="5"/>
    <n v="993"/>
    <n v="3"/>
    <n v="3"/>
    <n v="16"/>
    <s v="No"/>
    <s v="No"/>
    <s v="No"/>
    <s v="Yes"/>
    <x v="0"/>
    <n v="19"/>
    <n v="19"/>
    <n v="7800000"/>
    <n v="7854.9848942598192"/>
    <x v="0"/>
  </r>
  <r>
    <s v="P1680"/>
    <x v="0"/>
    <n v="683"/>
    <n v="1"/>
    <n v="1"/>
    <n v="19"/>
    <s v="Yes"/>
    <s v="No"/>
    <s v="No"/>
    <s v="No"/>
    <x v="0"/>
    <n v="20"/>
    <n v="21"/>
    <n v="4200000"/>
    <n v="6149.3411420204975"/>
    <x v="1"/>
  </r>
  <r>
    <s v="P1681"/>
    <x v="3"/>
    <n v="957"/>
    <n v="2"/>
    <n v="2"/>
    <n v="3"/>
    <s v="No"/>
    <s v="No"/>
    <s v="No"/>
    <s v="Yes"/>
    <x v="0"/>
    <n v="18"/>
    <n v="23"/>
    <n v="3800000"/>
    <n v="3970.7419017763846"/>
    <x v="1"/>
  </r>
  <r>
    <s v="P1682"/>
    <x v="5"/>
    <n v="1777"/>
    <n v="5"/>
    <n v="4"/>
    <n v="1"/>
    <s v="Yes"/>
    <s v="Yes"/>
    <s v="Yes"/>
    <s v="Yes"/>
    <x v="1"/>
    <n v="18"/>
    <n v="24"/>
    <n v="15850000"/>
    <n v="8919.5272931907712"/>
    <x v="2"/>
  </r>
  <r>
    <s v="P1683"/>
    <x v="3"/>
    <n v="2084"/>
    <n v="5"/>
    <n v="5"/>
    <n v="8"/>
    <s v="Yes"/>
    <s v="No"/>
    <s v="No"/>
    <s v="Yes"/>
    <x v="0"/>
    <n v="5"/>
    <n v="8"/>
    <n v="8850000"/>
    <n v="4246.6410748560456"/>
    <x v="0"/>
  </r>
  <r>
    <s v="P1684"/>
    <x v="3"/>
    <n v="1309"/>
    <n v="3"/>
    <n v="3"/>
    <n v="28"/>
    <s v="Yes"/>
    <s v="Yes"/>
    <s v="No"/>
    <s v="Yes"/>
    <x v="2"/>
    <n v="15"/>
    <n v="23"/>
    <n v="6200000"/>
    <n v="4736.4400305576773"/>
    <x v="0"/>
  </r>
  <r>
    <s v="P1685"/>
    <x v="7"/>
    <n v="1853"/>
    <n v="4"/>
    <n v="4"/>
    <n v="3"/>
    <s v="Yes"/>
    <s v="No"/>
    <s v="No"/>
    <s v="Yes"/>
    <x v="1"/>
    <n v="17"/>
    <n v="17"/>
    <n v="10800000"/>
    <n v="5828.386400431732"/>
    <x v="2"/>
  </r>
  <r>
    <s v="P1686"/>
    <x v="6"/>
    <n v="1325"/>
    <n v="2"/>
    <n v="2"/>
    <n v="25"/>
    <s v="Yes"/>
    <s v="Yes"/>
    <s v="No"/>
    <s v="Yes"/>
    <x v="1"/>
    <n v="8"/>
    <n v="8"/>
    <n v="8350000"/>
    <n v="6301.8867924528304"/>
    <x v="0"/>
  </r>
  <r>
    <s v="P1687"/>
    <x v="7"/>
    <n v="540"/>
    <n v="1"/>
    <n v="1"/>
    <n v="28"/>
    <s v="Yes"/>
    <s v="Yes"/>
    <s v="No"/>
    <s v="Yes"/>
    <x v="1"/>
    <n v="5"/>
    <n v="22"/>
    <n v="2850000"/>
    <n v="5277.7777777777774"/>
    <x v="1"/>
  </r>
  <r>
    <s v="P1688"/>
    <x v="1"/>
    <n v="1161"/>
    <n v="2"/>
    <n v="3"/>
    <n v="10"/>
    <s v="Yes"/>
    <s v="Yes"/>
    <s v="No"/>
    <s v="Yes"/>
    <x v="1"/>
    <n v="10"/>
    <n v="14"/>
    <n v="3600000"/>
    <n v="3100.7751937984494"/>
    <x v="1"/>
  </r>
  <r>
    <s v="P1689"/>
    <x v="5"/>
    <n v="897"/>
    <n v="2"/>
    <n v="1"/>
    <n v="19"/>
    <s v="No"/>
    <s v="No"/>
    <s v="No"/>
    <s v="Yes"/>
    <x v="1"/>
    <n v="16"/>
    <n v="19"/>
    <n v="5950000"/>
    <n v="6633.2218506131549"/>
    <x v="0"/>
  </r>
  <r>
    <s v="P1690"/>
    <x v="5"/>
    <n v="1105"/>
    <n v="2"/>
    <n v="2"/>
    <n v="28"/>
    <s v="Yes"/>
    <s v="Yes"/>
    <s v="No"/>
    <s v="Yes"/>
    <x v="1"/>
    <n v="3"/>
    <n v="12"/>
    <n v="7550000"/>
    <n v="6832.5791855203624"/>
    <x v="0"/>
  </r>
  <r>
    <s v="P1691"/>
    <x v="7"/>
    <n v="1308"/>
    <n v="3"/>
    <n v="3"/>
    <n v="24"/>
    <s v="Yes"/>
    <s v="Yes"/>
    <s v="No"/>
    <s v="Yes"/>
    <x v="1"/>
    <n v="5"/>
    <n v="8"/>
    <n v="6300000"/>
    <n v="4816.5137614678897"/>
    <x v="0"/>
  </r>
  <r>
    <s v="P1692"/>
    <x v="1"/>
    <n v="1574"/>
    <n v="3"/>
    <n v="3"/>
    <n v="29"/>
    <s v="Yes"/>
    <s v="No"/>
    <s v="Yes"/>
    <s v="Yes"/>
    <x v="1"/>
    <n v="3"/>
    <n v="22"/>
    <n v="5250000"/>
    <n v="3335.451080050826"/>
    <x v="0"/>
  </r>
  <r>
    <s v="P1693"/>
    <x v="0"/>
    <n v="2032"/>
    <n v="5"/>
    <n v="5"/>
    <n v="25"/>
    <s v="Yes"/>
    <s v="Yes"/>
    <s v="Yes"/>
    <s v="Yes"/>
    <x v="2"/>
    <n v="12"/>
    <n v="23"/>
    <n v="16800000"/>
    <n v="8267.71653543307"/>
    <x v="2"/>
  </r>
  <r>
    <s v="P1694"/>
    <x v="7"/>
    <n v="1593"/>
    <n v="3"/>
    <n v="3"/>
    <n v="19"/>
    <s v="Yes"/>
    <s v="Yes"/>
    <s v="Yes"/>
    <s v="Yes"/>
    <x v="1"/>
    <n v="9"/>
    <n v="12"/>
    <n v="9600000"/>
    <n v="6026.3653483992466"/>
    <x v="0"/>
  </r>
  <r>
    <s v="P1695"/>
    <x v="4"/>
    <n v="737"/>
    <n v="1"/>
    <n v="1"/>
    <n v="12"/>
    <s v="Yes"/>
    <s v="Yes"/>
    <s v="No"/>
    <s v="No"/>
    <x v="1"/>
    <n v="19"/>
    <n v="21"/>
    <n v="3700000"/>
    <n v="5020.3527815468115"/>
    <x v="1"/>
  </r>
  <r>
    <s v="P1696"/>
    <x v="3"/>
    <n v="777"/>
    <n v="1"/>
    <n v="2"/>
    <n v="19"/>
    <s v="Yes"/>
    <s v="Yes"/>
    <s v="Yes"/>
    <s v="Yes"/>
    <x v="1"/>
    <n v="12"/>
    <n v="21"/>
    <n v="3300000"/>
    <n v="4247.1042471042474"/>
    <x v="1"/>
  </r>
  <r>
    <s v="P1697"/>
    <x v="7"/>
    <n v="1437"/>
    <n v="3"/>
    <n v="3"/>
    <n v="8"/>
    <s v="Yes"/>
    <s v="Yes"/>
    <s v="Yes"/>
    <s v="Yes"/>
    <x v="2"/>
    <n v="6"/>
    <n v="24"/>
    <n v="13550000"/>
    <n v="9429.3667362560882"/>
    <x v="2"/>
  </r>
  <r>
    <s v="P1698"/>
    <x v="7"/>
    <n v="1317"/>
    <n v="3"/>
    <n v="3"/>
    <n v="24"/>
    <s v="Yes"/>
    <s v="No"/>
    <s v="No"/>
    <s v="Yes"/>
    <x v="0"/>
    <n v="8"/>
    <n v="16"/>
    <n v="8050000"/>
    <n v="6112.3766135155656"/>
    <x v="0"/>
  </r>
  <r>
    <s v="P1699"/>
    <x v="1"/>
    <n v="1030"/>
    <n v="2"/>
    <n v="3"/>
    <n v="29"/>
    <s v="Yes"/>
    <s v="Yes"/>
    <s v="Yes"/>
    <s v="Yes"/>
    <x v="0"/>
    <n v="4"/>
    <n v="11"/>
    <n v="4200000"/>
    <n v="4077.6699029126212"/>
    <x v="1"/>
  </r>
  <r>
    <s v="P1700"/>
    <x v="4"/>
    <n v="1135"/>
    <n v="3"/>
    <n v="2"/>
    <n v="12"/>
    <s v="Yes"/>
    <s v="Yes"/>
    <s v="No"/>
    <s v="Yes"/>
    <x v="1"/>
    <n v="15"/>
    <n v="20"/>
    <n v="5950000"/>
    <n v="5242.2907488986784"/>
    <x v="0"/>
  </r>
  <r>
    <s v="P1701"/>
    <x v="2"/>
    <n v="1078"/>
    <n v="2"/>
    <n v="3"/>
    <n v="11"/>
    <s v="No"/>
    <s v="Yes"/>
    <s v="No"/>
    <s v="Yes"/>
    <x v="0"/>
    <n v="16"/>
    <n v="19"/>
    <n v="5950000"/>
    <n v="5519.4805194805194"/>
    <x v="0"/>
  </r>
  <r>
    <s v="P1702"/>
    <x v="4"/>
    <n v="1394"/>
    <n v="3"/>
    <n v="3"/>
    <n v="16"/>
    <s v="Yes"/>
    <s v="Yes"/>
    <s v="Yes"/>
    <s v="Yes"/>
    <x v="1"/>
    <n v="15"/>
    <n v="16"/>
    <n v="7500000"/>
    <n v="5380.2008608321376"/>
    <x v="0"/>
  </r>
  <r>
    <s v="P1703"/>
    <x v="7"/>
    <n v="1122"/>
    <n v="2"/>
    <n v="2"/>
    <n v="7"/>
    <s v="Yes"/>
    <s v="Yes"/>
    <s v="No"/>
    <s v="Yes"/>
    <x v="1"/>
    <n v="17"/>
    <n v="22"/>
    <n v="6250000"/>
    <n v="5570.4099821746877"/>
    <x v="0"/>
  </r>
  <r>
    <s v="P1704"/>
    <x v="0"/>
    <n v="2004"/>
    <n v="5"/>
    <n v="5"/>
    <n v="6"/>
    <s v="No"/>
    <s v="No"/>
    <s v="No"/>
    <s v="Yes"/>
    <x v="1"/>
    <n v="16"/>
    <n v="19"/>
    <n v="13850000"/>
    <n v="6911.1776447105785"/>
    <x v="2"/>
  </r>
  <r>
    <s v="P1705"/>
    <x v="1"/>
    <n v="1188"/>
    <n v="2"/>
    <n v="3"/>
    <n v="12"/>
    <s v="No"/>
    <s v="Yes"/>
    <s v="No"/>
    <s v="No"/>
    <x v="1"/>
    <n v="5"/>
    <n v="22"/>
    <n v="3750000"/>
    <n v="3156.5656565656564"/>
    <x v="1"/>
  </r>
  <r>
    <s v="P1706"/>
    <x v="0"/>
    <n v="1153"/>
    <n v="3"/>
    <n v="3"/>
    <n v="19"/>
    <s v="No"/>
    <s v="Yes"/>
    <s v="Yes"/>
    <s v="Yes"/>
    <x v="1"/>
    <n v="5"/>
    <n v="24"/>
    <n v="7650000"/>
    <n v="6634.8655680832608"/>
    <x v="0"/>
  </r>
  <r>
    <s v="P1707"/>
    <x v="1"/>
    <n v="1622"/>
    <n v="4"/>
    <n v="4"/>
    <n v="26"/>
    <s v="No"/>
    <s v="Yes"/>
    <s v="Yes"/>
    <s v="Yes"/>
    <x v="0"/>
    <n v="11"/>
    <n v="15"/>
    <n v="6300000"/>
    <n v="3884.0937114673243"/>
    <x v="0"/>
  </r>
  <r>
    <s v="P1708"/>
    <x v="4"/>
    <n v="1293"/>
    <n v="3"/>
    <n v="3"/>
    <n v="30"/>
    <s v="Yes"/>
    <s v="Yes"/>
    <s v="No"/>
    <s v="Yes"/>
    <x v="1"/>
    <n v="9"/>
    <n v="20"/>
    <n v="4900000"/>
    <n v="3789.6365042536736"/>
    <x v="1"/>
  </r>
  <r>
    <s v="P1709"/>
    <x v="6"/>
    <n v="1549"/>
    <n v="3"/>
    <n v="2"/>
    <n v="13"/>
    <s v="Yes"/>
    <s v="Yes"/>
    <s v="No"/>
    <s v="Yes"/>
    <x v="1"/>
    <n v="19"/>
    <n v="23"/>
    <n v="10150000"/>
    <n v="6552.6145900581023"/>
    <x v="2"/>
  </r>
  <r>
    <s v="P1710"/>
    <x v="6"/>
    <n v="1433"/>
    <n v="3"/>
    <n v="3"/>
    <n v="7"/>
    <s v="Yes"/>
    <s v="No"/>
    <s v="No"/>
    <s v="Yes"/>
    <x v="2"/>
    <n v="14"/>
    <n v="24"/>
    <n v="12500000"/>
    <n v="8722.9588276343329"/>
    <x v="2"/>
  </r>
  <r>
    <s v="P1711"/>
    <x v="3"/>
    <n v="1425"/>
    <n v="3"/>
    <n v="3"/>
    <n v="22"/>
    <s v="Yes"/>
    <s v="Yes"/>
    <s v="No"/>
    <s v="Yes"/>
    <x v="1"/>
    <n v="8"/>
    <n v="8"/>
    <n v="4950000"/>
    <n v="3473.6842105263158"/>
    <x v="1"/>
  </r>
  <r>
    <s v="P1712"/>
    <x v="5"/>
    <n v="1775"/>
    <n v="4"/>
    <n v="5"/>
    <n v="14"/>
    <s v="Yes"/>
    <s v="Yes"/>
    <s v="Yes"/>
    <s v="Yes"/>
    <x v="0"/>
    <n v="9"/>
    <n v="22"/>
    <n v="16050000"/>
    <n v="9042.2535211267605"/>
    <x v="2"/>
  </r>
  <r>
    <s v="P1713"/>
    <x v="5"/>
    <n v="1878"/>
    <n v="4"/>
    <n v="3"/>
    <n v="26"/>
    <s v="Yes"/>
    <s v="Yes"/>
    <s v="No"/>
    <s v="Yes"/>
    <x v="1"/>
    <n v="1"/>
    <n v="10"/>
    <n v="12900000"/>
    <n v="6869.0095846645363"/>
    <x v="2"/>
  </r>
  <r>
    <s v="P1714"/>
    <x v="7"/>
    <n v="1275"/>
    <n v="2"/>
    <n v="2"/>
    <n v="5"/>
    <s v="Yes"/>
    <s v="No"/>
    <s v="No"/>
    <s v="Yes"/>
    <x v="1"/>
    <n v="19"/>
    <n v="20"/>
    <n v="8500000"/>
    <n v="6666.666666666667"/>
    <x v="0"/>
  </r>
  <r>
    <s v="P1715"/>
    <x v="7"/>
    <n v="1301"/>
    <n v="3"/>
    <n v="4"/>
    <n v="20"/>
    <s v="No"/>
    <s v="Yes"/>
    <s v="No"/>
    <s v="Yes"/>
    <x v="0"/>
    <n v="5"/>
    <n v="10"/>
    <n v="7200000"/>
    <n v="5534.2044581091468"/>
    <x v="0"/>
  </r>
  <r>
    <s v="P1716"/>
    <x v="0"/>
    <n v="450"/>
    <n v="1"/>
    <n v="1"/>
    <n v="20"/>
    <s v="Yes"/>
    <s v="No"/>
    <s v="Yes"/>
    <s v="Yes"/>
    <x v="1"/>
    <n v="9"/>
    <n v="13"/>
    <n v="3100000"/>
    <n v="6888.8888888888887"/>
    <x v="1"/>
  </r>
  <r>
    <s v="P1717"/>
    <x v="6"/>
    <n v="1237"/>
    <n v="2"/>
    <n v="2"/>
    <n v="5"/>
    <s v="No"/>
    <s v="No"/>
    <s v="No"/>
    <s v="Yes"/>
    <x v="1"/>
    <n v="20"/>
    <n v="23"/>
    <n v="8250000"/>
    <n v="6669.3613581244945"/>
    <x v="0"/>
  </r>
  <r>
    <s v="P1718"/>
    <x v="3"/>
    <n v="1647"/>
    <n v="4"/>
    <n v="5"/>
    <n v="14"/>
    <s v="Yes"/>
    <s v="No"/>
    <s v="Yes"/>
    <s v="Yes"/>
    <x v="1"/>
    <n v="9"/>
    <n v="13"/>
    <n v="6250000"/>
    <n v="3794.7783849423195"/>
    <x v="0"/>
  </r>
  <r>
    <s v="P1719"/>
    <x v="2"/>
    <n v="1878"/>
    <n v="3"/>
    <n v="3"/>
    <n v="9"/>
    <s v="Yes"/>
    <s v="Yes"/>
    <s v="Yes"/>
    <s v="No"/>
    <x v="2"/>
    <n v="9"/>
    <n v="14"/>
    <n v="11900000"/>
    <n v="6336.528221512247"/>
    <x v="2"/>
  </r>
  <r>
    <s v="P1720"/>
    <x v="1"/>
    <n v="1263"/>
    <n v="2"/>
    <n v="2"/>
    <n v="8"/>
    <s v="Yes"/>
    <s v="Yes"/>
    <s v="No"/>
    <s v="No"/>
    <x v="1"/>
    <n v="17"/>
    <n v="17"/>
    <n v="4000000"/>
    <n v="3167.0625494853525"/>
    <x v="1"/>
  </r>
  <r>
    <s v="P1721"/>
    <x v="0"/>
    <n v="1721"/>
    <n v="3"/>
    <n v="2"/>
    <n v="18"/>
    <s v="Yes"/>
    <s v="No"/>
    <s v="No"/>
    <s v="Yes"/>
    <x v="1"/>
    <n v="13"/>
    <n v="23"/>
    <n v="11050000"/>
    <n v="6420.6856478791397"/>
    <x v="2"/>
  </r>
  <r>
    <s v="P1722"/>
    <x v="7"/>
    <n v="878"/>
    <n v="2"/>
    <n v="1"/>
    <n v="30"/>
    <s v="No"/>
    <s v="No"/>
    <s v="No"/>
    <s v="Yes"/>
    <x v="1"/>
    <n v="15"/>
    <n v="23"/>
    <n v="4700000"/>
    <n v="5353.0751708428243"/>
    <x v="1"/>
  </r>
  <r>
    <s v="P1723"/>
    <x v="4"/>
    <n v="2057"/>
    <n v="4"/>
    <n v="5"/>
    <n v="18"/>
    <s v="Yes"/>
    <s v="No"/>
    <s v="No"/>
    <s v="Yes"/>
    <x v="0"/>
    <n v="15"/>
    <n v="19"/>
    <n v="9100000"/>
    <n v="4423.9183276616432"/>
    <x v="0"/>
  </r>
  <r>
    <s v="P1724"/>
    <x v="3"/>
    <n v="1128"/>
    <n v="2"/>
    <n v="1"/>
    <n v="24"/>
    <s v="No"/>
    <s v="Yes"/>
    <s v="No"/>
    <s v="Yes"/>
    <x v="2"/>
    <n v="1"/>
    <n v="7"/>
    <n v="5050000"/>
    <n v="4476.9503546099295"/>
    <x v="0"/>
  </r>
  <r>
    <s v="P1725"/>
    <x v="4"/>
    <n v="1751"/>
    <n v="4"/>
    <n v="4"/>
    <n v="10"/>
    <s v="Yes"/>
    <s v="No"/>
    <s v="No"/>
    <s v="Yes"/>
    <x v="2"/>
    <n v="13"/>
    <n v="21"/>
    <n v="12350000"/>
    <n v="7053.1125071387778"/>
    <x v="2"/>
  </r>
  <r>
    <s v="P1726"/>
    <x v="6"/>
    <n v="886"/>
    <n v="2"/>
    <n v="1"/>
    <n v="10"/>
    <s v="No"/>
    <s v="No"/>
    <s v="No"/>
    <s v="Yes"/>
    <x v="1"/>
    <n v="4"/>
    <n v="23"/>
    <n v="5700000"/>
    <n v="6433.4085778781036"/>
    <x v="0"/>
  </r>
  <r>
    <s v="P1727"/>
    <x v="0"/>
    <n v="1396"/>
    <n v="4"/>
    <n v="4"/>
    <n v="26"/>
    <s v="No"/>
    <s v="No"/>
    <s v="No"/>
    <s v="Yes"/>
    <x v="1"/>
    <n v="15"/>
    <n v="21"/>
    <n v="6950000"/>
    <n v="4978.5100286532952"/>
    <x v="0"/>
  </r>
  <r>
    <s v="P1728"/>
    <x v="0"/>
    <n v="798"/>
    <n v="1"/>
    <n v="1"/>
    <n v="1"/>
    <s v="Yes"/>
    <s v="Yes"/>
    <s v="No"/>
    <s v="Yes"/>
    <x v="1"/>
    <n v="17"/>
    <n v="20"/>
    <n v="5550000"/>
    <n v="6954.8872180451126"/>
    <x v="0"/>
  </r>
  <r>
    <s v="P1729"/>
    <x v="7"/>
    <n v="1088"/>
    <n v="1"/>
    <n v="2"/>
    <n v="18"/>
    <s v="Yes"/>
    <s v="Yes"/>
    <s v="Yes"/>
    <s v="Yes"/>
    <x v="1"/>
    <n v="12"/>
    <n v="21"/>
    <n v="6200000"/>
    <n v="5698.5294117647063"/>
    <x v="0"/>
  </r>
  <r>
    <s v="P1730"/>
    <x v="4"/>
    <n v="1239"/>
    <n v="1"/>
    <n v="1"/>
    <n v="2"/>
    <s v="Yes"/>
    <s v="No"/>
    <s v="No"/>
    <s v="Yes"/>
    <x v="0"/>
    <n v="9"/>
    <n v="18"/>
    <n v="7650000"/>
    <n v="6174.3341404358353"/>
    <x v="0"/>
  </r>
  <r>
    <s v="P1731"/>
    <x v="1"/>
    <n v="1354"/>
    <n v="2"/>
    <n v="2"/>
    <n v="14"/>
    <s v="Yes"/>
    <s v="Yes"/>
    <s v="No"/>
    <s v="Yes"/>
    <x v="1"/>
    <n v="2"/>
    <n v="17"/>
    <n v="4700000"/>
    <n v="3471.1964549483014"/>
    <x v="1"/>
  </r>
  <r>
    <s v="P1732"/>
    <x v="3"/>
    <n v="1958"/>
    <n v="4"/>
    <n v="3"/>
    <n v="11"/>
    <s v="Yes"/>
    <s v="No"/>
    <s v="No"/>
    <s v="Yes"/>
    <x v="0"/>
    <n v="20"/>
    <n v="21"/>
    <n v="8450000"/>
    <n v="4315.6281920326865"/>
    <x v="0"/>
  </r>
  <r>
    <s v="P1733"/>
    <x v="2"/>
    <n v="995"/>
    <n v="2"/>
    <n v="2"/>
    <n v="7"/>
    <s v="Yes"/>
    <s v="Yes"/>
    <s v="No"/>
    <s v="Yes"/>
    <x v="1"/>
    <n v="13"/>
    <n v="17"/>
    <n v="4250000"/>
    <n v="4271.3567839195975"/>
    <x v="1"/>
  </r>
  <r>
    <s v="P1734"/>
    <x v="0"/>
    <n v="1295"/>
    <n v="2"/>
    <n v="2"/>
    <n v="4"/>
    <s v="Yes"/>
    <s v="Yes"/>
    <s v="No"/>
    <s v="Yes"/>
    <x v="1"/>
    <n v="17"/>
    <n v="22"/>
    <n v="10150000"/>
    <n v="7837.8378378378375"/>
    <x v="2"/>
  </r>
  <r>
    <s v="P1735"/>
    <x v="2"/>
    <n v="2008"/>
    <n v="4"/>
    <n v="4"/>
    <n v="21"/>
    <s v="Yes"/>
    <s v="Yes"/>
    <s v="No"/>
    <s v="Yes"/>
    <x v="2"/>
    <n v="20"/>
    <n v="21"/>
    <n v="11100000"/>
    <n v="5527.8884462151391"/>
    <x v="2"/>
  </r>
  <r>
    <s v="P1736"/>
    <x v="7"/>
    <n v="1398"/>
    <n v="3"/>
    <n v="4"/>
    <n v="14"/>
    <s v="Yes"/>
    <s v="Yes"/>
    <s v="No"/>
    <s v="Yes"/>
    <x v="0"/>
    <n v="6"/>
    <n v="21"/>
    <n v="8050000"/>
    <n v="5758.2260371959946"/>
    <x v="0"/>
  </r>
  <r>
    <s v="P1737"/>
    <x v="5"/>
    <n v="1247"/>
    <n v="2"/>
    <n v="2"/>
    <n v="19"/>
    <s v="Yes"/>
    <s v="No"/>
    <s v="No"/>
    <s v="Yes"/>
    <x v="1"/>
    <n v="10"/>
    <n v="12"/>
    <n v="8500000"/>
    <n v="6816.3592622293509"/>
    <x v="0"/>
  </r>
  <r>
    <s v="P1738"/>
    <x v="0"/>
    <n v="1351"/>
    <n v="3"/>
    <n v="4"/>
    <n v="25"/>
    <s v="Yes"/>
    <s v="Yes"/>
    <s v="No"/>
    <s v="Yes"/>
    <x v="1"/>
    <n v="15"/>
    <n v="16"/>
    <n v="8700000"/>
    <n v="6439.6743153219841"/>
    <x v="0"/>
  </r>
  <r>
    <s v="P1739"/>
    <x v="6"/>
    <n v="1325"/>
    <n v="3"/>
    <n v="3"/>
    <n v="17"/>
    <s v="Yes"/>
    <s v="No"/>
    <s v="No"/>
    <s v="Yes"/>
    <x v="1"/>
    <n v="9"/>
    <n v="16"/>
    <n v="6850000"/>
    <n v="5169.8113207547167"/>
    <x v="0"/>
  </r>
  <r>
    <s v="P1740"/>
    <x v="5"/>
    <n v="1068"/>
    <n v="2"/>
    <n v="2"/>
    <n v="0"/>
    <s v="Yes"/>
    <s v="No"/>
    <s v="No"/>
    <s v="Yes"/>
    <x v="1"/>
    <n v="3"/>
    <n v="9"/>
    <n v="8700000"/>
    <n v="8146.0674157303374"/>
    <x v="0"/>
  </r>
  <r>
    <s v="P1741"/>
    <x v="3"/>
    <n v="723"/>
    <n v="2"/>
    <n v="2"/>
    <n v="28"/>
    <s v="Yes"/>
    <s v="Yes"/>
    <s v="No"/>
    <s v="Yes"/>
    <x v="0"/>
    <n v="6"/>
    <n v="23"/>
    <n v="2350000"/>
    <n v="3250.3457814661133"/>
    <x v="1"/>
  </r>
  <r>
    <s v="P1742"/>
    <x v="0"/>
    <n v="1188"/>
    <n v="2"/>
    <n v="3"/>
    <n v="16"/>
    <s v="Yes"/>
    <s v="Yes"/>
    <s v="No"/>
    <s v="Yes"/>
    <x v="0"/>
    <n v="2"/>
    <n v="5"/>
    <n v="9050000"/>
    <n v="7617.8451178451178"/>
    <x v="0"/>
  </r>
  <r>
    <s v="P1743"/>
    <x v="5"/>
    <n v="1257"/>
    <n v="3"/>
    <n v="2"/>
    <n v="16"/>
    <s v="Yes"/>
    <s v="Yes"/>
    <s v="No"/>
    <s v="Yes"/>
    <x v="1"/>
    <n v="14"/>
    <n v="21"/>
    <n v="9650000"/>
    <n v="7677.0087509944315"/>
    <x v="0"/>
  </r>
  <r>
    <s v="P1744"/>
    <x v="0"/>
    <n v="1067"/>
    <n v="3"/>
    <n v="2"/>
    <n v="25"/>
    <s v="No"/>
    <s v="No"/>
    <s v="Yes"/>
    <s v="Yes"/>
    <x v="1"/>
    <n v="8"/>
    <n v="10"/>
    <n v="6350000"/>
    <n v="5951.2652296157448"/>
    <x v="0"/>
  </r>
  <r>
    <s v="P1745"/>
    <x v="2"/>
    <n v="881"/>
    <n v="2"/>
    <n v="2"/>
    <n v="17"/>
    <s v="Yes"/>
    <s v="No"/>
    <s v="Yes"/>
    <s v="Yes"/>
    <x v="0"/>
    <n v="10"/>
    <n v="24"/>
    <n v="4850000"/>
    <n v="5505.107832009081"/>
    <x v="1"/>
  </r>
  <r>
    <s v="P1746"/>
    <x v="0"/>
    <n v="1660"/>
    <n v="4"/>
    <n v="5"/>
    <n v="29"/>
    <s v="Yes"/>
    <s v="Yes"/>
    <s v="Yes"/>
    <s v="Yes"/>
    <x v="1"/>
    <n v="15"/>
    <n v="18"/>
    <n v="10350000"/>
    <n v="6234.939759036145"/>
    <x v="2"/>
  </r>
  <r>
    <s v="P1747"/>
    <x v="4"/>
    <n v="1049"/>
    <n v="2"/>
    <n v="2"/>
    <n v="6"/>
    <s v="Yes"/>
    <s v="Yes"/>
    <s v="Yes"/>
    <s v="No"/>
    <x v="1"/>
    <n v="12"/>
    <n v="20"/>
    <n v="6200000"/>
    <n v="5910.3908484270733"/>
    <x v="0"/>
  </r>
  <r>
    <s v="P1748"/>
    <x v="5"/>
    <n v="1441"/>
    <n v="3"/>
    <n v="3"/>
    <n v="13"/>
    <s v="Yes"/>
    <s v="No"/>
    <s v="No"/>
    <s v="No"/>
    <x v="2"/>
    <n v="2"/>
    <n v="24"/>
    <n v="11850000"/>
    <n v="8223.4559333795969"/>
    <x v="2"/>
  </r>
  <r>
    <s v="P1749"/>
    <x v="4"/>
    <n v="1582"/>
    <n v="3"/>
    <n v="2"/>
    <n v="16"/>
    <s v="Yes"/>
    <s v="Yes"/>
    <s v="No"/>
    <s v="No"/>
    <x v="1"/>
    <n v="16"/>
    <n v="24"/>
    <n v="7700000"/>
    <n v="4867.2566371681414"/>
    <x v="0"/>
  </r>
  <r>
    <s v="P1750"/>
    <x v="1"/>
    <n v="554"/>
    <n v="1"/>
    <n v="1"/>
    <n v="1"/>
    <s v="Yes"/>
    <s v="Yes"/>
    <s v="Yes"/>
    <s v="Yes"/>
    <x v="0"/>
    <n v="8"/>
    <n v="15"/>
    <n v="2550000"/>
    <n v="4602.8880866425989"/>
    <x v="1"/>
  </r>
  <r>
    <s v="P1751"/>
    <x v="4"/>
    <n v="1530"/>
    <n v="3"/>
    <n v="3"/>
    <n v="21"/>
    <s v="No"/>
    <s v="Yes"/>
    <s v="Yes"/>
    <s v="No"/>
    <x v="1"/>
    <n v="13"/>
    <n v="24"/>
    <n v="7150000"/>
    <n v="4673.2026143790854"/>
    <x v="0"/>
  </r>
  <r>
    <s v="P1752"/>
    <x v="5"/>
    <n v="1142"/>
    <n v="2"/>
    <n v="3"/>
    <n v="5"/>
    <s v="Yes"/>
    <s v="Yes"/>
    <s v="No"/>
    <s v="No"/>
    <x v="1"/>
    <n v="18"/>
    <n v="19"/>
    <n v="8900000"/>
    <n v="7793.345008756567"/>
    <x v="0"/>
  </r>
  <r>
    <s v="P1753"/>
    <x v="0"/>
    <n v="1001"/>
    <n v="2"/>
    <n v="2"/>
    <n v="24"/>
    <s v="No"/>
    <s v="No"/>
    <s v="No"/>
    <s v="Yes"/>
    <x v="0"/>
    <n v="11"/>
    <n v="17"/>
    <n v="6450000"/>
    <n v="6443.5564435564438"/>
    <x v="0"/>
  </r>
  <r>
    <s v="P1754"/>
    <x v="6"/>
    <n v="1639"/>
    <n v="3"/>
    <n v="4"/>
    <n v="3"/>
    <s v="Yes"/>
    <s v="No"/>
    <s v="No"/>
    <s v="Yes"/>
    <x v="0"/>
    <n v="9"/>
    <n v="17"/>
    <n v="10300000"/>
    <n v="6284.3197071384993"/>
    <x v="2"/>
  </r>
  <r>
    <s v="P1755"/>
    <x v="4"/>
    <n v="1181"/>
    <n v="3"/>
    <n v="3"/>
    <n v="11"/>
    <s v="Yes"/>
    <s v="Yes"/>
    <s v="No"/>
    <s v="Yes"/>
    <x v="0"/>
    <n v="4"/>
    <n v="19"/>
    <n v="7700000"/>
    <n v="6519.8983911939031"/>
    <x v="0"/>
  </r>
  <r>
    <s v="P1756"/>
    <x v="0"/>
    <n v="1230"/>
    <n v="2"/>
    <n v="1"/>
    <n v="4"/>
    <s v="Yes"/>
    <s v="Yes"/>
    <s v="No"/>
    <s v="No"/>
    <x v="1"/>
    <n v="6"/>
    <n v="22"/>
    <n v="7550000"/>
    <n v="6138.2113821138209"/>
    <x v="0"/>
  </r>
  <r>
    <s v="P1757"/>
    <x v="4"/>
    <n v="1406"/>
    <n v="3"/>
    <n v="3"/>
    <n v="23"/>
    <s v="Yes"/>
    <s v="Yes"/>
    <s v="Yes"/>
    <s v="Yes"/>
    <x v="1"/>
    <n v="6"/>
    <n v="11"/>
    <n v="6800000"/>
    <n v="4836.4153627311525"/>
    <x v="0"/>
  </r>
  <r>
    <s v="P1758"/>
    <x v="6"/>
    <n v="1163"/>
    <n v="2"/>
    <n v="2"/>
    <n v="22"/>
    <s v="Yes"/>
    <s v="Yes"/>
    <s v="No"/>
    <s v="Yes"/>
    <x v="1"/>
    <n v="6"/>
    <n v="12"/>
    <n v="6700000"/>
    <n v="5760.9630266552022"/>
    <x v="0"/>
  </r>
  <r>
    <s v="P1759"/>
    <x v="4"/>
    <n v="1116"/>
    <n v="2"/>
    <n v="2"/>
    <n v="28"/>
    <s v="Yes"/>
    <s v="No"/>
    <s v="Yes"/>
    <s v="No"/>
    <x v="1"/>
    <n v="13"/>
    <n v="24"/>
    <n v="4300000"/>
    <n v="3853.0465949820787"/>
    <x v="1"/>
  </r>
  <r>
    <s v="P1760"/>
    <x v="5"/>
    <n v="963"/>
    <n v="2"/>
    <n v="3"/>
    <n v="25"/>
    <s v="Yes"/>
    <s v="Yes"/>
    <s v="No"/>
    <s v="No"/>
    <x v="2"/>
    <n v="16"/>
    <n v="22"/>
    <n v="8850000"/>
    <n v="9190.0311526479745"/>
    <x v="0"/>
  </r>
  <r>
    <s v="P1761"/>
    <x v="7"/>
    <n v="1143"/>
    <n v="2"/>
    <n v="1"/>
    <n v="22"/>
    <s v="Yes"/>
    <s v="Yes"/>
    <s v="No"/>
    <s v="No"/>
    <x v="1"/>
    <n v="16"/>
    <n v="23"/>
    <n v="6100000"/>
    <n v="5336.8328958880138"/>
    <x v="0"/>
  </r>
  <r>
    <s v="P1762"/>
    <x v="0"/>
    <n v="1105"/>
    <n v="2"/>
    <n v="2"/>
    <n v="4"/>
    <s v="Yes"/>
    <s v="No"/>
    <s v="No"/>
    <s v="Yes"/>
    <x v="0"/>
    <n v="12"/>
    <n v="18"/>
    <n v="9200000"/>
    <n v="8325.7918552036208"/>
    <x v="0"/>
  </r>
  <r>
    <s v="P1763"/>
    <x v="0"/>
    <n v="1260"/>
    <n v="2"/>
    <n v="3"/>
    <n v="25"/>
    <s v="Yes"/>
    <s v="No"/>
    <s v="No"/>
    <s v="No"/>
    <x v="0"/>
    <n v="19"/>
    <n v="23"/>
    <n v="7700000"/>
    <n v="6111.1111111111113"/>
    <x v="0"/>
  </r>
  <r>
    <s v="P1764"/>
    <x v="4"/>
    <n v="822"/>
    <n v="1"/>
    <n v="1"/>
    <n v="24"/>
    <s v="Yes"/>
    <s v="No"/>
    <s v="No"/>
    <s v="Yes"/>
    <x v="1"/>
    <n v="2"/>
    <n v="7"/>
    <n v="4150000"/>
    <n v="5048.6618004866177"/>
    <x v="1"/>
  </r>
  <r>
    <s v="P1765"/>
    <x v="2"/>
    <n v="997"/>
    <n v="2"/>
    <n v="2"/>
    <n v="27"/>
    <s v="No"/>
    <s v="Yes"/>
    <s v="No"/>
    <s v="Yes"/>
    <x v="1"/>
    <n v="1"/>
    <n v="17"/>
    <n v="3000000"/>
    <n v="3009.0270812437311"/>
    <x v="1"/>
  </r>
  <r>
    <s v="P1766"/>
    <x v="4"/>
    <n v="2042"/>
    <n v="5"/>
    <n v="5"/>
    <n v="29"/>
    <s v="Yes"/>
    <s v="No"/>
    <s v="No"/>
    <s v="No"/>
    <x v="0"/>
    <n v="10"/>
    <n v="20"/>
    <n v="8150000"/>
    <n v="3991.1851126346719"/>
    <x v="0"/>
  </r>
  <r>
    <s v="P1767"/>
    <x v="5"/>
    <n v="2095"/>
    <n v="4"/>
    <n v="3"/>
    <n v="13"/>
    <s v="Yes"/>
    <s v="No"/>
    <s v="No"/>
    <s v="Yes"/>
    <x v="0"/>
    <n v="18"/>
    <n v="22"/>
    <n v="18150000"/>
    <n v="8663.484486873509"/>
    <x v="2"/>
  </r>
  <r>
    <s v="P1768"/>
    <x v="7"/>
    <n v="975"/>
    <n v="2"/>
    <n v="2"/>
    <n v="20"/>
    <s v="Yes"/>
    <s v="Yes"/>
    <s v="No"/>
    <s v="Yes"/>
    <x v="0"/>
    <n v="2"/>
    <n v="3"/>
    <n v="6200000"/>
    <n v="6358.9743589743593"/>
    <x v="0"/>
  </r>
  <r>
    <s v="P1769"/>
    <x v="0"/>
    <n v="1437"/>
    <n v="3"/>
    <n v="3"/>
    <n v="11"/>
    <s v="Yes"/>
    <s v="No"/>
    <s v="No"/>
    <s v="Yes"/>
    <x v="1"/>
    <n v="5"/>
    <n v="6"/>
    <n v="10550000"/>
    <n v="7341.684064022269"/>
    <x v="2"/>
  </r>
  <r>
    <s v="P1770"/>
    <x v="6"/>
    <n v="1703"/>
    <n v="4"/>
    <n v="3"/>
    <n v="0"/>
    <s v="Yes"/>
    <s v="Yes"/>
    <s v="No"/>
    <s v="Yes"/>
    <x v="1"/>
    <n v="11"/>
    <n v="11"/>
    <n v="12550000"/>
    <n v="7369.3482090428652"/>
    <x v="2"/>
  </r>
  <r>
    <s v="P1771"/>
    <x v="3"/>
    <n v="1278"/>
    <n v="3"/>
    <n v="3"/>
    <n v="23"/>
    <s v="Yes"/>
    <s v="No"/>
    <s v="No"/>
    <s v="Yes"/>
    <x v="0"/>
    <n v="13"/>
    <n v="13"/>
    <n v="4400000"/>
    <n v="3442.8794992175276"/>
    <x v="1"/>
  </r>
  <r>
    <s v="P1772"/>
    <x v="6"/>
    <n v="1337"/>
    <n v="3"/>
    <n v="3"/>
    <n v="5"/>
    <s v="Yes"/>
    <s v="No"/>
    <s v="No"/>
    <s v="Yes"/>
    <x v="0"/>
    <n v="1"/>
    <n v="11"/>
    <n v="10900000"/>
    <n v="8152.5804038893048"/>
    <x v="2"/>
  </r>
  <r>
    <s v="P1773"/>
    <x v="0"/>
    <n v="844"/>
    <n v="2"/>
    <n v="2"/>
    <n v="2"/>
    <s v="Yes"/>
    <s v="No"/>
    <s v="No"/>
    <s v="No"/>
    <x v="0"/>
    <n v="9"/>
    <n v="9"/>
    <n v="6550000"/>
    <n v="7760.663507109005"/>
    <x v="0"/>
  </r>
  <r>
    <s v="P1774"/>
    <x v="3"/>
    <n v="1428"/>
    <n v="3"/>
    <n v="3"/>
    <n v="18"/>
    <s v="Yes"/>
    <s v="No"/>
    <s v="No"/>
    <s v="Yes"/>
    <x v="1"/>
    <n v="4"/>
    <n v="4"/>
    <n v="4000000"/>
    <n v="2801.1204481792715"/>
    <x v="1"/>
  </r>
  <r>
    <s v="P1775"/>
    <x v="3"/>
    <n v="2390"/>
    <n v="4"/>
    <n v="4"/>
    <n v="11"/>
    <s v="Yes"/>
    <s v="Yes"/>
    <s v="Yes"/>
    <s v="Yes"/>
    <x v="1"/>
    <n v="16"/>
    <n v="18"/>
    <n v="10350000"/>
    <n v="4330.5439330543932"/>
    <x v="2"/>
  </r>
  <r>
    <s v="P1776"/>
    <x v="5"/>
    <n v="1048"/>
    <n v="2"/>
    <n v="2"/>
    <n v="20"/>
    <s v="Yes"/>
    <s v="Yes"/>
    <s v="No"/>
    <s v="Yes"/>
    <x v="0"/>
    <n v="14"/>
    <n v="15"/>
    <n v="7950000"/>
    <n v="7585.8778625954201"/>
    <x v="0"/>
  </r>
  <r>
    <s v="P1777"/>
    <x v="0"/>
    <n v="1577"/>
    <n v="3"/>
    <n v="4"/>
    <n v="27"/>
    <s v="Yes"/>
    <s v="Yes"/>
    <s v="No"/>
    <s v="Yes"/>
    <x v="1"/>
    <n v="19"/>
    <n v="20"/>
    <n v="9600000"/>
    <n v="6087.5079264426122"/>
    <x v="0"/>
  </r>
  <r>
    <s v="P1778"/>
    <x v="2"/>
    <n v="2232"/>
    <n v="5"/>
    <n v="5"/>
    <n v="2"/>
    <s v="Yes"/>
    <s v="Yes"/>
    <s v="No"/>
    <s v="Yes"/>
    <x v="1"/>
    <n v="16"/>
    <n v="20"/>
    <n v="8650000"/>
    <n v="3875.4480286738353"/>
    <x v="0"/>
  </r>
  <r>
    <s v="P1779"/>
    <x v="3"/>
    <n v="1252"/>
    <n v="2"/>
    <n v="2"/>
    <n v="15"/>
    <s v="Yes"/>
    <s v="No"/>
    <s v="No"/>
    <s v="Yes"/>
    <x v="1"/>
    <n v="17"/>
    <n v="23"/>
    <n v="4550000"/>
    <n v="3634.1853035143772"/>
    <x v="1"/>
  </r>
  <r>
    <s v="P1780"/>
    <x v="2"/>
    <n v="968"/>
    <n v="2"/>
    <n v="3"/>
    <n v="9"/>
    <s v="No"/>
    <s v="No"/>
    <s v="No"/>
    <s v="Yes"/>
    <x v="1"/>
    <n v="4"/>
    <n v="21"/>
    <n v="4250000"/>
    <n v="4390.4958677685954"/>
    <x v="1"/>
  </r>
  <r>
    <s v="P1781"/>
    <x v="3"/>
    <n v="1461"/>
    <n v="3"/>
    <n v="2"/>
    <n v="24"/>
    <s v="Yes"/>
    <s v="Yes"/>
    <s v="No"/>
    <s v="Yes"/>
    <x v="2"/>
    <n v="1"/>
    <n v="5"/>
    <n v="6750000"/>
    <n v="4620.1232032854214"/>
    <x v="0"/>
  </r>
  <r>
    <s v="P1782"/>
    <x v="6"/>
    <n v="1848"/>
    <n v="4"/>
    <n v="5"/>
    <n v="1"/>
    <s v="Yes"/>
    <s v="Yes"/>
    <s v="No"/>
    <s v="Yes"/>
    <x v="1"/>
    <n v="6"/>
    <n v="16"/>
    <n v="12500000"/>
    <n v="6764.0692640692641"/>
    <x v="2"/>
  </r>
  <r>
    <s v="P1783"/>
    <x v="6"/>
    <n v="1619"/>
    <n v="3"/>
    <n v="4"/>
    <n v="7"/>
    <s v="Yes"/>
    <s v="No"/>
    <s v="Yes"/>
    <s v="No"/>
    <x v="1"/>
    <n v="2"/>
    <n v="6"/>
    <n v="10950000"/>
    <n v="6763.4342186534896"/>
    <x v="2"/>
  </r>
  <r>
    <s v="P1784"/>
    <x v="5"/>
    <n v="688"/>
    <n v="1"/>
    <n v="1"/>
    <n v="7"/>
    <s v="Yes"/>
    <s v="Yes"/>
    <s v="No"/>
    <s v="Yes"/>
    <x v="1"/>
    <n v="5"/>
    <n v="9"/>
    <n v="5150000"/>
    <n v="7485.4651162790697"/>
    <x v="0"/>
  </r>
  <r>
    <s v="P1785"/>
    <x v="3"/>
    <n v="1962"/>
    <n v="5"/>
    <n v="5"/>
    <n v="23"/>
    <s v="Yes"/>
    <s v="No"/>
    <s v="No"/>
    <s v="Yes"/>
    <x v="0"/>
    <n v="11"/>
    <n v="21"/>
    <n v="7700000"/>
    <n v="3924.5667686034658"/>
    <x v="0"/>
  </r>
  <r>
    <s v="P1786"/>
    <x v="2"/>
    <n v="993"/>
    <n v="2"/>
    <n v="2"/>
    <n v="30"/>
    <s v="No"/>
    <s v="Yes"/>
    <s v="No"/>
    <s v="Yes"/>
    <x v="0"/>
    <n v="12"/>
    <n v="17"/>
    <n v="3900000"/>
    <n v="3927.4924471299096"/>
    <x v="1"/>
  </r>
  <r>
    <s v="P1787"/>
    <x v="4"/>
    <n v="1373"/>
    <n v="2"/>
    <n v="2"/>
    <n v="23"/>
    <s v="Yes"/>
    <s v="Yes"/>
    <s v="No"/>
    <s v="No"/>
    <x v="0"/>
    <n v="10"/>
    <n v="21"/>
    <n v="7200000"/>
    <n v="5243.9912600145663"/>
    <x v="0"/>
  </r>
  <r>
    <s v="P1788"/>
    <x v="4"/>
    <n v="1743"/>
    <n v="4"/>
    <n v="5"/>
    <n v="11"/>
    <s v="Yes"/>
    <s v="Yes"/>
    <s v="No"/>
    <s v="Yes"/>
    <x v="0"/>
    <n v="17"/>
    <n v="19"/>
    <n v="11400000"/>
    <n v="6540.4475043029261"/>
    <x v="2"/>
  </r>
  <r>
    <s v="P1789"/>
    <x v="7"/>
    <n v="1448"/>
    <n v="3"/>
    <n v="3"/>
    <n v="17"/>
    <s v="Yes"/>
    <s v="No"/>
    <s v="No"/>
    <s v="Yes"/>
    <x v="2"/>
    <n v="7"/>
    <n v="23"/>
    <n v="11700000"/>
    <n v="8080.1104972375688"/>
    <x v="2"/>
  </r>
  <r>
    <s v="P1790"/>
    <x v="2"/>
    <n v="867"/>
    <n v="1"/>
    <n v="1"/>
    <n v="30"/>
    <s v="Yes"/>
    <s v="Yes"/>
    <s v="No"/>
    <s v="Yes"/>
    <x v="1"/>
    <n v="4"/>
    <n v="24"/>
    <n v="3350000"/>
    <n v="3863.8985005767013"/>
    <x v="1"/>
  </r>
  <r>
    <s v="P1791"/>
    <x v="0"/>
    <n v="1163"/>
    <n v="2"/>
    <n v="1"/>
    <n v="12"/>
    <s v="Yes"/>
    <s v="Yes"/>
    <s v="No"/>
    <s v="Yes"/>
    <x v="1"/>
    <n v="5"/>
    <n v="11"/>
    <n v="7900000"/>
    <n v="6792.7773000859843"/>
    <x v="0"/>
  </r>
  <r>
    <s v="P1792"/>
    <x v="5"/>
    <n v="918"/>
    <n v="2"/>
    <n v="1"/>
    <n v="27"/>
    <s v="Yes"/>
    <s v="Yes"/>
    <s v="No"/>
    <s v="No"/>
    <x v="1"/>
    <n v="11"/>
    <n v="19"/>
    <n v="6600000"/>
    <n v="7189.5424836601305"/>
    <x v="0"/>
  </r>
  <r>
    <s v="P1793"/>
    <x v="6"/>
    <n v="1362"/>
    <n v="2"/>
    <n v="3"/>
    <n v="27"/>
    <s v="Yes"/>
    <s v="No"/>
    <s v="Yes"/>
    <s v="Yes"/>
    <x v="1"/>
    <n v="14"/>
    <n v="20"/>
    <n v="8250000"/>
    <n v="6057.2687224669608"/>
    <x v="0"/>
  </r>
  <r>
    <s v="P1794"/>
    <x v="1"/>
    <n v="605"/>
    <n v="1"/>
    <n v="1"/>
    <n v="13"/>
    <s v="Yes"/>
    <s v="Yes"/>
    <s v="No"/>
    <s v="Yes"/>
    <x v="1"/>
    <n v="10"/>
    <n v="18"/>
    <n v="2150000"/>
    <n v="3553.7190082644629"/>
    <x v="1"/>
  </r>
  <r>
    <s v="P1795"/>
    <x v="0"/>
    <n v="1332"/>
    <n v="3"/>
    <n v="3"/>
    <n v="3"/>
    <s v="Yes"/>
    <s v="No"/>
    <s v="No"/>
    <s v="Yes"/>
    <x v="0"/>
    <n v="13"/>
    <n v="19"/>
    <n v="12250000"/>
    <n v="9196.6966966966975"/>
    <x v="2"/>
  </r>
  <r>
    <s v="P1796"/>
    <x v="4"/>
    <n v="1285"/>
    <n v="3"/>
    <n v="2"/>
    <n v="12"/>
    <s v="Yes"/>
    <s v="No"/>
    <s v="Yes"/>
    <s v="Yes"/>
    <x v="1"/>
    <n v="16"/>
    <n v="18"/>
    <n v="7150000"/>
    <n v="5564.2023346303504"/>
    <x v="0"/>
  </r>
  <r>
    <s v="P1797"/>
    <x v="1"/>
    <n v="752"/>
    <n v="1"/>
    <n v="1"/>
    <n v="30"/>
    <s v="Yes"/>
    <s v="No"/>
    <s v="Yes"/>
    <s v="No"/>
    <x v="0"/>
    <n v="5"/>
    <n v="21"/>
    <n v="2350000"/>
    <n v="3125"/>
    <x v="1"/>
  </r>
  <r>
    <s v="P1798"/>
    <x v="0"/>
    <n v="656"/>
    <n v="1"/>
    <n v="2"/>
    <n v="21"/>
    <s v="Yes"/>
    <s v="No"/>
    <s v="No"/>
    <s v="Yes"/>
    <x v="1"/>
    <n v="7"/>
    <n v="20"/>
    <n v="4100000"/>
    <n v="6250"/>
    <x v="1"/>
  </r>
  <r>
    <s v="P1799"/>
    <x v="5"/>
    <n v="1664"/>
    <n v="3"/>
    <n v="3"/>
    <n v="30"/>
    <s v="Yes"/>
    <s v="No"/>
    <s v="Yes"/>
    <s v="Yes"/>
    <x v="1"/>
    <n v="16"/>
    <n v="17"/>
    <n v="13350000"/>
    <n v="8022.8365384615381"/>
    <x v="2"/>
  </r>
  <r>
    <s v="P1800"/>
    <x v="6"/>
    <n v="1159"/>
    <n v="2"/>
    <n v="3"/>
    <n v="26"/>
    <s v="Yes"/>
    <s v="Yes"/>
    <s v="No"/>
    <s v="No"/>
    <x v="1"/>
    <n v="2"/>
    <n v="6"/>
    <n v="6550000"/>
    <n v="5651.4236410698877"/>
    <x v="0"/>
  </r>
  <r>
    <s v="P1801"/>
    <x v="6"/>
    <n v="982"/>
    <n v="1"/>
    <n v="1"/>
    <n v="15"/>
    <s v="Yes"/>
    <s v="No"/>
    <s v="No"/>
    <s v="Yes"/>
    <x v="2"/>
    <n v="16"/>
    <n v="18"/>
    <n v="7800000"/>
    <n v="7942.9735234215887"/>
    <x v="0"/>
  </r>
  <r>
    <s v="P1802"/>
    <x v="3"/>
    <n v="681"/>
    <n v="2"/>
    <n v="2"/>
    <n v="30"/>
    <s v="Yes"/>
    <s v="Yes"/>
    <s v="No"/>
    <s v="No"/>
    <x v="1"/>
    <n v="19"/>
    <n v="19"/>
    <n v="2050000"/>
    <n v="3010.2790014684288"/>
    <x v="1"/>
  </r>
  <r>
    <s v="P1803"/>
    <x v="7"/>
    <n v="1181"/>
    <n v="2"/>
    <n v="2"/>
    <n v="19"/>
    <s v="Yes"/>
    <s v="No"/>
    <s v="No"/>
    <s v="No"/>
    <x v="1"/>
    <n v="8"/>
    <n v="24"/>
    <n v="5600000"/>
    <n v="4741.7442845046571"/>
    <x v="0"/>
  </r>
  <r>
    <s v="P1804"/>
    <x v="0"/>
    <n v="1557"/>
    <n v="3"/>
    <n v="3"/>
    <n v="25"/>
    <s v="No"/>
    <s v="Yes"/>
    <s v="No"/>
    <s v="No"/>
    <x v="1"/>
    <n v="2"/>
    <n v="2"/>
    <n v="8000000"/>
    <n v="5138.0860629415547"/>
    <x v="0"/>
  </r>
  <r>
    <s v="P1805"/>
    <x v="0"/>
    <n v="1225"/>
    <n v="2"/>
    <n v="2"/>
    <n v="9"/>
    <s v="Yes"/>
    <s v="No"/>
    <s v="No"/>
    <s v="Yes"/>
    <x v="0"/>
    <n v="11"/>
    <n v="15"/>
    <n v="10100000"/>
    <n v="8244.8979591836742"/>
    <x v="2"/>
  </r>
  <r>
    <s v="P1806"/>
    <x v="3"/>
    <n v="1037"/>
    <n v="3"/>
    <n v="3"/>
    <n v="7"/>
    <s v="Yes"/>
    <s v="Yes"/>
    <s v="Yes"/>
    <s v="Yes"/>
    <x v="2"/>
    <n v="6"/>
    <n v="18"/>
    <n v="5600000"/>
    <n v="5400.1928640308579"/>
    <x v="0"/>
  </r>
  <r>
    <s v="P1807"/>
    <x v="0"/>
    <n v="1248"/>
    <n v="3"/>
    <n v="3"/>
    <n v="8"/>
    <s v="Yes"/>
    <s v="No"/>
    <s v="Yes"/>
    <s v="Yes"/>
    <x v="1"/>
    <n v="9"/>
    <n v="13"/>
    <n v="8100000"/>
    <n v="6490.3846153846152"/>
    <x v="0"/>
  </r>
  <r>
    <s v="P1808"/>
    <x v="0"/>
    <n v="1356"/>
    <n v="3"/>
    <n v="3"/>
    <n v="12"/>
    <s v="Yes"/>
    <s v="No"/>
    <s v="Yes"/>
    <s v="No"/>
    <x v="0"/>
    <n v="17"/>
    <n v="21"/>
    <n v="10550000"/>
    <n v="7780.2359882005903"/>
    <x v="2"/>
  </r>
  <r>
    <s v="P1809"/>
    <x v="1"/>
    <n v="914"/>
    <n v="2"/>
    <n v="2"/>
    <n v="15"/>
    <s v="No"/>
    <s v="Yes"/>
    <s v="No"/>
    <s v="No"/>
    <x v="1"/>
    <n v="16"/>
    <n v="21"/>
    <n v="2800000"/>
    <n v="3063.4573304157548"/>
    <x v="1"/>
  </r>
  <r>
    <s v="P1810"/>
    <x v="6"/>
    <n v="1135"/>
    <n v="2"/>
    <n v="2"/>
    <n v="1"/>
    <s v="Yes"/>
    <s v="Yes"/>
    <s v="Yes"/>
    <s v="No"/>
    <x v="1"/>
    <n v="13"/>
    <n v="22"/>
    <n v="9050000"/>
    <n v="7973.5682819383264"/>
    <x v="0"/>
  </r>
  <r>
    <s v="P1811"/>
    <x v="7"/>
    <n v="1230"/>
    <n v="3"/>
    <n v="2"/>
    <n v="22"/>
    <s v="Yes"/>
    <s v="No"/>
    <s v="No"/>
    <s v="Yes"/>
    <x v="0"/>
    <n v="7"/>
    <n v="11"/>
    <n v="7400000"/>
    <n v="6016.2601626016258"/>
    <x v="0"/>
  </r>
  <r>
    <s v="P1812"/>
    <x v="0"/>
    <n v="1835"/>
    <n v="4"/>
    <n v="4"/>
    <n v="14"/>
    <s v="No"/>
    <s v="Yes"/>
    <s v="No"/>
    <s v="No"/>
    <x v="1"/>
    <n v="9"/>
    <n v="18"/>
    <n v="12100000"/>
    <n v="6594.0054495912809"/>
    <x v="2"/>
  </r>
  <r>
    <s v="P1813"/>
    <x v="2"/>
    <n v="928"/>
    <n v="1"/>
    <n v="1"/>
    <n v="28"/>
    <s v="Yes"/>
    <s v="Yes"/>
    <s v="No"/>
    <s v="Yes"/>
    <x v="1"/>
    <n v="4"/>
    <n v="5"/>
    <n v="3450000"/>
    <n v="3717.6724137931033"/>
    <x v="1"/>
  </r>
  <r>
    <s v="P1814"/>
    <x v="0"/>
    <n v="1368"/>
    <n v="3"/>
    <n v="3"/>
    <n v="16"/>
    <s v="Yes"/>
    <s v="No"/>
    <s v="Yes"/>
    <s v="No"/>
    <x v="1"/>
    <n v="18"/>
    <n v="23"/>
    <n v="7650000"/>
    <n v="5592.105263157895"/>
    <x v="0"/>
  </r>
  <r>
    <s v="P1815"/>
    <x v="0"/>
    <n v="1806"/>
    <n v="4"/>
    <n v="3"/>
    <n v="14"/>
    <s v="No"/>
    <s v="Yes"/>
    <s v="No"/>
    <s v="Yes"/>
    <x v="1"/>
    <n v="4"/>
    <n v="22"/>
    <n v="11200000"/>
    <n v="6201.5503875968989"/>
    <x v="2"/>
  </r>
  <r>
    <s v="P1816"/>
    <x v="7"/>
    <n v="1421"/>
    <n v="2"/>
    <n v="3"/>
    <n v="26"/>
    <s v="Yes"/>
    <s v="Yes"/>
    <s v="Yes"/>
    <s v="Yes"/>
    <x v="1"/>
    <n v="10"/>
    <n v="17"/>
    <n v="8100000"/>
    <n v="5700.2111189303305"/>
    <x v="0"/>
  </r>
  <r>
    <s v="P1817"/>
    <x v="3"/>
    <n v="899"/>
    <n v="2"/>
    <n v="1"/>
    <n v="12"/>
    <s v="Yes"/>
    <s v="Yes"/>
    <s v="No"/>
    <s v="Yes"/>
    <x v="1"/>
    <n v="11"/>
    <n v="22"/>
    <n v="3200000"/>
    <n v="3559.5105672969967"/>
    <x v="1"/>
  </r>
  <r>
    <s v="P1818"/>
    <x v="1"/>
    <n v="1222"/>
    <n v="3"/>
    <n v="4"/>
    <n v="27"/>
    <s v="No"/>
    <s v="Yes"/>
    <s v="Yes"/>
    <s v="Yes"/>
    <x v="1"/>
    <n v="12"/>
    <n v="22"/>
    <n v="3750000"/>
    <n v="3068.7397708674303"/>
    <x v="1"/>
  </r>
  <r>
    <s v="P1819"/>
    <x v="7"/>
    <n v="1161"/>
    <n v="2"/>
    <n v="3"/>
    <n v="22"/>
    <s v="Yes"/>
    <s v="No"/>
    <s v="No"/>
    <s v="Yes"/>
    <x v="0"/>
    <n v="6"/>
    <n v="9"/>
    <n v="7650000"/>
    <n v="6589.1472868217052"/>
    <x v="0"/>
  </r>
  <r>
    <s v="P1820"/>
    <x v="2"/>
    <n v="1589"/>
    <n v="3"/>
    <n v="3"/>
    <n v="30"/>
    <s v="Yes"/>
    <s v="No"/>
    <s v="No"/>
    <s v="Yes"/>
    <x v="0"/>
    <n v="3"/>
    <n v="14"/>
    <n v="6000000"/>
    <n v="3775.9597230962868"/>
    <x v="0"/>
  </r>
  <r>
    <s v="P1821"/>
    <x v="7"/>
    <n v="1147"/>
    <n v="2"/>
    <n v="2"/>
    <n v="26"/>
    <s v="Yes"/>
    <s v="No"/>
    <s v="No"/>
    <s v="No"/>
    <x v="1"/>
    <n v="11"/>
    <n v="18"/>
    <n v="5750000"/>
    <n v="5013.0775937227554"/>
    <x v="0"/>
  </r>
  <r>
    <s v="P1822"/>
    <x v="0"/>
    <n v="1586"/>
    <n v="3"/>
    <n v="3"/>
    <n v="1"/>
    <s v="Yes"/>
    <s v="Yes"/>
    <s v="No"/>
    <s v="Yes"/>
    <x v="1"/>
    <n v="8"/>
    <n v="21"/>
    <n v="12000000"/>
    <n v="7566.2042875157631"/>
    <x v="2"/>
  </r>
  <r>
    <s v="P1823"/>
    <x v="0"/>
    <n v="818"/>
    <n v="2"/>
    <n v="2"/>
    <n v="25"/>
    <s v="Yes"/>
    <s v="Yes"/>
    <s v="Yes"/>
    <s v="Yes"/>
    <x v="1"/>
    <n v="8"/>
    <n v="8"/>
    <n v="4650000"/>
    <n v="5684.5965770171151"/>
    <x v="1"/>
  </r>
  <r>
    <s v="P1824"/>
    <x v="6"/>
    <n v="1347"/>
    <n v="3"/>
    <n v="3"/>
    <n v="19"/>
    <s v="Yes"/>
    <s v="No"/>
    <s v="No"/>
    <s v="Yes"/>
    <x v="1"/>
    <n v="4"/>
    <n v="4"/>
    <n v="7550000"/>
    <n v="5605.0482553823313"/>
    <x v="0"/>
  </r>
  <r>
    <s v="P1825"/>
    <x v="1"/>
    <n v="2265"/>
    <n v="5"/>
    <n v="5"/>
    <n v="9"/>
    <s v="Yes"/>
    <s v="Yes"/>
    <s v="No"/>
    <s v="Yes"/>
    <x v="0"/>
    <n v="4"/>
    <n v="17"/>
    <n v="10550000"/>
    <n v="4657.8366445916117"/>
    <x v="2"/>
  </r>
  <r>
    <s v="P1826"/>
    <x v="5"/>
    <n v="1408"/>
    <n v="3"/>
    <n v="3"/>
    <n v="24"/>
    <s v="Yes"/>
    <s v="Yes"/>
    <s v="No"/>
    <s v="Yes"/>
    <x v="1"/>
    <n v="10"/>
    <n v="14"/>
    <n v="10250000"/>
    <n v="7279.829545454545"/>
    <x v="2"/>
  </r>
  <r>
    <s v="P1827"/>
    <x v="1"/>
    <n v="2128"/>
    <n v="5"/>
    <n v="5"/>
    <n v="11"/>
    <s v="Yes"/>
    <s v="Yes"/>
    <s v="Yes"/>
    <s v="Yes"/>
    <x v="1"/>
    <n v="1"/>
    <n v="6"/>
    <n v="9450000"/>
    <n v="4440.7894736842109"/>
    <x v="0"/>
  </r>
  <r>
    <s v="P1828"/>
    <x v="5"/>
    <n v="747"/>
    <n v="1"/>
    <n v="2"/>
    <n v="21"/>
    <s v="Yes"/>
    <s v="No"/>
    <s v="No"/>
    <s v="Yes"/>
    <x v="2"/>
    <n v="10"/>
    <n v="14"/>
    <n v="7300000"/>
    <n v="9772.4230254350732"/>
    <x v="0"/>
  </r>
  <r>
    <s v="P1829"/>
    <x v="0"/>
    <n v="1088"/>
    <n v="2"/>
    <n v="1"/>
    <n v="24"/>
    <s v="Yes"/>
    <s v="No"/>
    <s v="No"/>
    <s v="Yes"/>
    <x v="1"/>
    <n v="7"/>
    <n v="20"/>
    <n v="6150000"/>
    <n v="5652.5735294117649"/>
    <x v="0"/>
  </r>
  <r>
    <s v="P1830"/>
    <x v="0"/>
    <n v="1406"/>
    <n v="4"/>
    <n v="4"/>
    <n v="5"/>
    <s v="Yes"/>
    <s v="Yes"/>
    <s v="No"/>
    <s v="Yes"/>
    <x v="2"/>
    <n v="7"/>
    <n v="15"/>
    <n v="14800000"/>
    <n v="10526.315789473685"/>
    <x v="2"/>
  </r>
  <r>
    <s v="P1831"/>
    <x v="3"/>
    <n v="1224"/>
    <n v="2"/>
    <n v="3"/>
    <n v="25"/>
    <s v="Yes"/>
    <s v="Yes"/>
    <s v="Yes"/>
    <s v="Yes"/>
    <x v="1"/>
    <n v="13"/>
    <n v="19"/>
    <n v="4300000"/>
    <n v="3513.0718954248364"/>
    <x v="1"/>
  </r>
  <r>
    <s v="P1832"/>
    <x v="6"/>
    <n v="1575"/>
    <n v="3"/>
    <n v="3"/>
    <n v="5"/>
    <s v="Yes"/>
    <s v="No"/>
    <s v="Yes"/>
    <s v="Yes"/>
    <x v="1"/>
    <n v="20"/>
    <n v="24"/>
    <n v="11350000"/>
    <n v="7206.3492063492067"/>
    <x v="2"/>
  </r>
  <r>
    <s v="P1833"/>
    <x v="2"/>
    <n v="1890"/>
    <n v="4"/>
    <n v="4"/>
    <n v="12"/>
    <s v="Yes"/>
    <s v="No"/>
    <s v="No"/>
    <s v="Yes"/>
    <x v="1"/>
    <n v="4"/>
    <n v="12"/>
    <n v="8800000"/>
    <n v="4656.0846560846558"/>
    <x v="0"/>
  </r>
  <r>
    <s v="P1834"/>
    <x v="0"/>
    <n v="1015"/>
    <n v="2"/>
    <n v="2"/>
    <n v="25"/>
    <s v="No"/>
    <s v="No"/>
    <s v="No"/>
    <s v="Yes"/>
    <x v="1"/>
    <n v="17"/>
    <n v="24"/>
    <n v="6150000"/>
    <n v="6059.1133004926105"/>
    <x v="0"/>
  </r>
  <r>
    <s v="P1835"/>
    <x v="1"/>
    <n v="1047"/>
    <n v="3"/>
    <n v="3"/>
    <n v="20"/>
    <s v="Yes"/>
    <s v="Yes"/>
    <s v="No"/>
    <s v="Yes"/>
    <x v="0"/>
    <n v="16"/>
    <n v="17"/>
    <n v="3700000"/>
    <n v="3533.906399235912"/>
    <x v="1"/>
  </r>
  <r>
    <s v="P1836"/>
    <x v="0"/>
    <n v="1232"/>
    <n v="3"/>
    <n v="3"/>
    <n v="29"/>
    <s v="Yes"/>
    <s v="Yes"/>
    <s v="No"/>
    <s v="Yes"/>
    <x v="0"/>
    <n v="12"/>
    <n v="24"/>
    <n v="7950000"/>
    <n v="6452.9220779220777"/>
    <x v="0"/>
  </r>
  <r>
    <s v="P1837"/>
    <x v="4"/>
    <n v="1203"/>
    <n v="3"/>
    <n v="3"/>
    <n v="21"/>
    <s v="No"/>
    <s v="Yes"/>
    <s v="No"/>
    <s v="No"/>
    <x v="1"/>
    <n v="19"/>
    <n v="20"/>
    <n v="4800000"/>
    <n v="3990.0249376558604"/>
    <x v="1"/>
  </r>
  <r>
    <s v="P1838"/>
    <x v="2"/>
    <n v="1504"/>
    <n v="3"/>
    <n v="3"/>
    <n v="4"/>
    <s v="No"/>
    <s v="No"/>
    <s v="No"/>
    <s v="Yes"/>
    <x v="0"/>
    <n v="10"/>
    <n v="11"/>
    <n v="8050000"/>
    <n v="5352.3936170212764"/>
    <x v="0"/>
  </r>
  <r>
    <s v="P1839"/>
    <x v="4"/>
    <n v="1134"/>
    <n v="3"/>
    <n v="4"/>
    <n v="13"/>
    <s v="Yes"/>
    <s v="Yes"/>
    <s v="No"/>
    <s v="No"/>
    <x v="1"/>
    <n v="7"/>
    <n v="15"/>
    <n v="5800000"/>
    <n v="5114.6384479717817"/>
    <x v="0"/>
  </r>
  <r>
    <s v="P1840"/>
    <x v="3"/>
    <n v="1095"/>
    <n v="3"/>
    <n v="3"/>
    <n v="19"/>
    <s v="Yes"/>
    <s v="Yes"/>
    <s v="No"/>
    <s v="Yes"/>
    <x v="0"/>
    <n v="3"/>
    <n v="17"/>
    <n v="4800000"/>
    <n v="4383.5616438356165"/>
    <x v="1"/>
  </r>
  <r>
    <s v="P1841"/>
    <x v="1"/>
    <n v="1157"/>
    <n v="2"/>
    <n v="1"/>
    <n v="14"/>
    <s v="No"/>
    <s v="Yes"/>
    <s v="No"/>
    <s v="No"/>
    <x v="0"/>
    <n v="18"/>
    <n v="18"/>
    <n v="4050000"/>
    <n v="3500.4321521175452"/>
    <x v="1"/>
  </r>
  <r>
    <s v="P1842"/>
    <x v="3"/>
    <n v="1423"/>
    <n v="3"/>
    <n v="3"/>
    <n v="18"/>
    <s v="No"/>
    <s v="No"/>
    <s v="No"/>
    <s v="Yes"/>
    <x v="1"/>
    <n v="8"/>
    <n v="21"/>
    <n v="4400000"/>
    <n v="3092.0590302178498"/>
    <x v="1"/>
  </r>
  <r>
    <s v="P1843"/>
    <x v="7"/>
    <n v="1300"/>
    <n v="3"/>
    <n v="4"/>
    <n v="25"/>
    <s v="Yes"/>
    <s v="No"/>
    <s v="No"/>
    <s v="Yes"/>
    <x v="1"/>
    <n v="16"/>
    <n v="24"/>
    <n v="6400000"/>
    <n v="4923.0769230769229"/>
    <x v="0"/>
  </r>
  <r>
    <s v="P1844"/>
    <x v="3"/>
    <n v="1430"/>
    <n v="3"/>
    <n v="2"/>
    <n v="1"/>
    <s v="No"/>
    <s v="No"/>
    <s v="No"/>
    <s v="No"/>
    <x v="2"/>
    <n v="1"/>
    <n v="21"/>
    <n v="6700000"/>
    <n v="4685.3146853146854"/>
    <x v="0"/>
  </r>
  <r>
    <s v="P1845"/>
    <x v="1"/>
    <n v="1280"/>
    <n v="3"/>
    <n v="2"/>
    <n v="25"/>
    <s v="Yes"/>
    <s v="Yes"/>
    <s v="Yes"/>
    <s v="Yes"/>
    <x v="0"/>
    <n v="7"/>
    <n v="10"/>
    <n v="4800000"/>
    <n v="3750"/>
    <x v="1"/>
  </r>
  <r>
    <s v="P1846"/>
    <x v="6"/>
    <n v="1543"/>
    <n v="3"/>
    <n v="4"/>
    <n v="3"/>
    <s v="Yes"/>
    <s v="Yes"/>
    <s v="No"/>
    <s v="Yes"/>
    <x v="0"/>
    <n v="17"/>
    <n v="21"/>
    <n v="9200000"/>
    <n v="5962.4108878807519"/>
    <x v="0"/>
  </r>
  <r>
    <s v="P1847"/>
    <x v="6"/>
    <n v="951"/>
    <n v="2"/>
    <n v="2"/>
    <n v="12"/>
    <s v="Yes"/>
    <s v="No"/>
    <s v="No"/>
    <s v="No"/>
    <x v="0"/>
    <n v="19"/>
    <n v="23"/>
    <n v="6300000"/>
    <n v="6624.6056782334381"/>
    <x v="0"/>
  </r>
  <r>
    <s v="P1848"/>
    <x v="3"/>
    <n v="1001"/>
    <n v="2"/>
    <n v="2"/>
    <n v="2"/>
    <s v="Yes"/>
    <s v="No"/>
    <s v="Yes"/>
    <s v="Yes"/>
    <x v="1"/>
    <n v="15"/>
    <n v="20"/>
    <n v="3800000"/>
    <n v="3796.2037962037962"/>
    <x v="1"/>
  </r>
  <r>
    <s v="P1849"/>
    <x v="1"/>
    <n v="1209"/>
    <n v="3"/>
    <n v="3"/>
    <n v="7"/>
    <s v="Yes"/>
    <s v="Yes"/>
    <s v="No"/>
    <s v="No"/>
    <x v="1"/>
    <n v="20"/>
    <n v="20"/>
    <n v="4550000"/>
    <n v="3763.4408602150538"/>
    <x v="1"/>
  </r>
  <r>
    <s v="P1850"/>
    <x v="0"/>
    <n v="1393"/>
    <n v="3"/>
    <n v="2"/>
    <n v="22"/>
    <s v="Yes"/>
    <s v="No"/>
    <s v="No"/>
    <s v="Yes"/>
    <x v="1"/>
    <n v="15"/>
    <n v="18"/>
    <n v="7300000"/>
    <n v="5240.4881550610198"/>
    <x v="0"/>
  </r>
  <r>
    <s v="P1851"/>
    <x v="0"/>
    <n v="1473"/>
    <n v="2"/>
    <n v="1"/>
    <n v="29"/>
    <s v="Yes"/>
    <s v="Yes"/>
    <s v="Yes"/>
    <s v="Yes"/>
    <x v="1"/>
    <n v="18"/>
    <n v="23"/>
    <n v="8050000"/>
    <n v="5465.0373387644267"/>
    <x v="0"/>
  </r>
  <r>
    <s v="P1852"/>
    <x v="7"/>
    <n v="1193"/>
    <n v="3"/>
    <n v="3"/>
    <n v="17"/>
    <s v="Yes"/>
    <s v="No"/>
    <s v="No"/>
    <s v="Yes"/>
    <x v="1"/>
    <n v="4"/>
    <n v="23"/>
    <n v="7650000"/>
    <n v="6412.4056999161776"/>
    <x v="0"/>
  </r>
  <r>
    <s v="P1853"/>
    <x v="1"/>
    <n v="1435"/>
    <n v="3"/>
    <n v="3"/>
    <n v="4"/>
    <s v="Yes"/>
    <s v="No"/>
    <s v="No"/>
    <s v="Yes"/>
    <x v="1"/>
    <n v="20"/>
    <n v="23"/>
    <n v="4900000"/>
    <n v="3414.6341463414633"/>
    <x v="1"/>
  </r>
  <r>
    <s v="P1854"/>
    <x v="3"/>
    <n v="1603"/>
    <n v="2"/>
    <n v="2"/>
    <n v="15"/>
    <s v="Yes"/>
    <s v="Yes"/>
    <s v="No"/>
    <s v="No"/>
    <x v="2"/>
    <n v="20"/>
    <n v="24"/>
    <n v="7200000"/>
    <n v="4491.5782907049279"/>
    <x v="0"/>
  </r>
  <r>
    <s v="P1855"/>
    <x v="0"/>
    <n v="1058"/>
    <n v="2"/>
    <n v="2"/>
    <n v="14"/>
    <s v="Yes"/>
    <s v="Yes"/>
    <s v="No"/>
    <s v="Yes"/>
    <x v="0"/>
    <n v="19"/>
    <n v="19"/>
    <n v="8000000"/>
    <n v="7561.4366729678641"/>
    <x v="0"/>
  </r>
  <r>
    <s v="P1856"/>
    <x v="6"/>
    <n v="1396"/>
    <n v="2"/>
    <n v="2"/>
    <n v="7"/>
    <s v="Yes"/>
    <s v="Yes"/>
    <s v="No"/>
    <s v="Yes"/>
    <x v="1"/>
    <n v="8"/>
    <n v="14"/>
    <n v="8650000"/>
    <n v="6196.2750716332375"/>
    <x v="0"/>
  </r>
  <r>
    <s v="P1857"/>
    <x v="2"/>
    <n v="1111"/>
    <n v="2"/>
    <n v="1"/>
    <n v="15"/>
    <s v="Yes"/>
    <s v="No"/>
    <s v="Yes"/>
    <s v="Yes"/>
    <x v="1"/>
    <n v="20"/>
    <n v="24"/>
    <n v="4850000"/>
    <n v="4365.4365436543658"/>
    <x v="1"/>
  </r>
  <r>
    <s v="P1858"/>
    <x v="3"/>
    <n v="1177"/>
    <n v="2"/>
    <n v="2"/>
    <n v="7"/>
    <s v="Yes"/>
    <s v="Yes"/>
    <s v="Yes"/>
    <s v="Yes"/>
    <x v="0"/>
    <n v="11"/>
    <n v="17"/>
    <n v="6500000"/>
    <n v="5522.5148683092611"/>
    <x v="0"/>
  </r>
  <r>
    <s v="P1859"/>
    <x v="0"/>
    <n v="1209"/>
    <n v="3"/>
    <n v="2"/>
    <n v="1"/>
    <s v="No"/>
    <s v="No"/>
    <s v="No"/>
    <s v="Yes"/>
    <x v="1"/>
    <n v="20"/>
    <n v="20"/>
    <n v="8350000"/>
    <n v="6906.5343258891644"/>
    <x v="0"/>
  </r>
  <r>
    <s v="P1860"/>
    <x v="3"/>
    <n v="1438"/>
    <n v="3"/>
    <n v="3"/>
    <n v="7"/>
    <s v="Yes"/>
    <s v="Yes"/>
    <s v="No"/>
    <s v="Yes"/>
    <x v="1"/>
    <n v="13"/>
    <n v="13"/>
    <n v="5550000"/>
    <n v="3859.5271210013907"/>
    <x v="0"/>
  </r>
  <r>
    <s v="P1861"/>
    <x v="2"/>
    <n v="929"/>
    <n v="2"/>
    <n v="2"/>
    <n v="27"/>
    <s v="Yes"/>
    <s v="No"/>
    <s v="No"/>
    <s v="No"/>
    <x v="1"/>
    <n v="7"/>
    <n v="18"/>
    <n v="4050000"/>
    <n v="4359.5263724434881"/>
    <x v="1"/>
  </r>
  <r>
    <s v="P1862"/>
    <x v="5"/>
    <n v="1364"/>
    <n v="3"/>
    <n v="3"/>
    <n v="8"/>
    <s v="Yes"/>
    <s v="No"/>
    <s v="No"/>
    <s v="Yes"/>
    <x v="1"/>
    <n v="18"/>
    <n v="22"/>
    <n v="12250000"/>
    <n v="8980.9384164222865"/>
    <x v="2"/>
  </r>
  <r>
    <s v="P1863"/>
    <x v="6"/>
    <n v="1357"/>
    <n v="3"/>
    <n v="3"/>
    <n v="10"/>
    <s v="Yes"/>
    <s v="Yes"/>
    <s v="No"/>
    <s v="Yes"/>
    <x v="2"/>
    <n v="13"/>
    <n v="13"/>
    <n v="14700000"/>
    <n v="10832.719233603537"/>
    <x v="2"/>
  </r>
  <r>
    <s v="P1864"/>
    <x v="7"/>
    <n v="509"/>
    <n v="1"/>
    <n v="2"/>
    <n v="29"/>
    <s v="No"/>
    <s v="No"/>
    <s v="No"/>
    <s v="Yes"/>
    <x v="0"/>
    <n v="9"/>
    <n v="19"/>
    <n v="2500000"/>
    <n v="4911.5913555992138"/>
    <x v="1"/>
  </r>
  <r>
    <s v="P1865"/>
    <x v="2"/>
    <n v="1579"/>
    <n v="3"/>
    <n v="3"/>
    <n v="15"/>
    <s v="Yes"/>
    <s v="Yes"/>
    <s v="No"/>
    <s v="No"/>
    <x v="1"/>
    <n v="13"/>
    <n v="13"/>
    <n v="7250000"/>
    <n v="4591.5136162127928"/>
    <x v="0"/>
  </r>
  <r>
    <s v="P1866"/>
    <x v="6"/>
    <n v="867"/>
    <n v="2"/>
    <n v="2"/>
    <n v="10"/>
    <s v="Yes"/>
    <s v="No"/>
    <s v="No"/>
    <s v="Yes"/>
    <x v="0"/>
    <n v="3"/>
    <n v="6"/>
    <n v="6350000"/>
    <n v="7324.1061130334483"/>
    <x v="0"/>
  </r>
  <r>
    <s v="P1867"/>
    <x v="6"/>
    <n v="763"/>
    <n v="1"/>
    <n v="1"/>
    <n v="5"/>
    <s v="Yes"/>
    <s v="No"/>
    <s v="Yes"/>
    <s v="Yes"/>
    <x v="1"/>
    <n v="13"/>
    <n v="22"/>
    <n v="5450000"/>
    <n v="7142.8571428571431"/>
    <x v="0"/>
  </r>
  <r>
    <s v="P1868"/>
    <x v="2"/>
    <n v="970"/>
    <n v="2"/>
    <n v="3"/>
    <n v="7"/>
    <s v="Yes"/>
    <s v="Yes"/>
    <s v="Yes"/>
    <s v="Yes"/>
    <x v="2"/>
    <n v="13"/>
    <n v="18"/>
    <n v="6300000"/>
    <n v="6494.8453608247419"/>
    <x v="0"/>
  </r>
  <r>
    <s v="P1869"/>
    <x v="3"/>
    <n v="1833"/>
    <n v="4"/>
    <n v="3"/>
    <n v="17"/>
    <s v="Yes"/>
    <s v="No"/>
    <s v="Yes"/>
    <s v="Yes"/>
    <x v="1"/>
    <n v="15"/>
    <n v="23"/>
    <n v="5900000"/>
    <n v="3218.7670485542826"/>
    <x v="0"/>
  </r>
  <r>
    <s v="P1870"/>
    <x v="5"/>
    <n v="1150"/>
    <n v="3"/>
    <n v="3"/>
    <n v="25"/>
    <s v="No"/>
    <s v="No"/>
    <s v="No"/>
    <s v="Yes"/>
    <x v="2"/>
    <n v="8"/>
    <n v="21"/>
    <n v="10300000"/>
    <n v="8956.5217391304341"/>
    <x v="2"/>
  </r>
  <r>
    <s v="P1871"/>
    <x v="0"/>
    <n v="1214"/>
    <n v="3"/>
    <n v="3"/>
    <n v="5"/>
    <s v="Yes"/>
    <s v="No"/>
    <s v="Yes"/>
    <s v="Yes"/>
    <x v="1"/>
    <n v="19"/>
    <n v="21"/>
    <n v="9050000"/>
    <n v="7454.695222405272"/>
    <x v="0"/>
  </r>
  <r>
    <s v="P1872"/>
    <x v="4"/>
    <n v="965"/>
    <n v="2"/>
    <n v="2"/>
    <n v="5"/>
    <s v="No"/>
    <s v="Yes"/>
    <s v="No"/>
    <s v="Yes"/>
    <x v="1"/>
    <n v="15"/>
    <n v="17"/>
    <n v="5500000"/>
    <n v="5699.4818652849744"/>
    <x v="0"/>
  </r>
  <r>
    <s v="P1873"/>
    <x v="7"/>
    <n v="1184"/>
    <n v="2"/>
    <n v="3"/>
    <n v="1"/>
    <s v="No"/>
    <s v="No"/>
    <s v="No"/>
    <s v="No"/>
    <x v="1"/>
    <n v="15"/>
    <n v="17"/>
    <n v="6700000"/>
    <n v="5658.7837837837842"/>
    <x v="0"/>
  </r>
  <r>
    <s v="P1874"/>
    <x v="4"/>
    <n v="1871"/>
    <n v="5"/>
    <n v="5"/>
    <n v="6"/>
    <s v="Yes"/>
    <s v="No"/>
    <s v="No"/>
    <s v="Yes"/>
    <x v="1"/>
    <n v="10"/>
    <n v="12"/>
    <n v="9950000"/>
    <n v="5318.0117584179579"/>
    <x v="0"/>
  </r>
  <r>
    <s v="P1875"/>
    <x v="6"/>
    <n v="1065"/>
    <n v="2"/>
    <n v="1"/>
    <n v="18"/>
    <s v="Yes"/>
    <s v="No"/>
    <s v="Yes"/>
    <s v="Yes"/>
    <x v="1"/>
    <n v="11"/>
    <n v="12"/>
    <n v="6900000"/>
    <n v="6478.8732394366198"/>
    <x v="0"/>
  </r>
  <r>
    <s v="P1876"/>
    <x v="4"/>
    <n v="1184"/>
    <n v="3"/>
    <n v="3"/>
    <n v="12"/>
    <s v="Yes"/>
    <s v="Yes"/>
    <s v="No"/>
    <s v="Yes"/>
    <x v="1"/>
    <n v="3"/>
    <n v="9"/>
    <n v="5800000"/>
    <n v="4898.6486486486483"/>
    <x v="0"/>
  </r>
  <r>
    <s v="P1877"/>
    <x v="1"/>
    <n v="1448"/>
    <n v="3"/>
    <n v="4"/>
    <n v="19"/>
    <s v="Yes"/>
    <s v="No"/>
    <s v="No"/>
    <s v="Yes"/>
    <x v="1"/>
    <n v="13"/>
    <n v="21"/>
    <n v="4600000"/>
    <n v="3176.7955801104972"/>
    <x v="1"/>
  </r>
  <r>
    <s v="P1878"/>
    <x v="1"/>
    <n v="1189"/>
    <n v="4"/>
    <n v="4"/>
    <n v="6"/>
    <s v="No"/>
    <s v="No"/>
    <s v="No"/>
    <s v="Yes"/>
    <x v="1"/>
    <n v="8"/>
    <n v="14"/>
    <n v="3800000"/>
    <n v="3195.9629941126996"/>
    <x v="1"/>
  </r>
  <r>
    <s v="P1879"/>
    <x v="7"/>
    <n v="1864"/>
    <n v="4"/>
    <n v="3"/>
    <n v="9"/>
    <s v="No"/>
    <s v="Yes"/>
    <s v="No"/>
    <s v="Yes"/>
    <x v="0"/>
    <n v="9"/>
    <n v="21"/>
    <n v="12150000"/>
    <n v="6518.2403433476393"/>
    <x v="2"/>
  </r>
  <r>
    <s v="P1880"/>
    <x v="6"/>
    <n v="1276"/>
    <n v="3"/>
    <n v="4"/>
    <n v="14"/>
    <s v="Yes"/>
    <s v="Yes"/>
    <s v="Yes"/>
    <s v="Yes"/>
    <x v="1"/>
    <n v="15"/>
    <n v="22"/>
    <n v="7950000"/>
    <n v="6230.4075235109722"/>
    <x v="0"/>
  </r>
  <r>
    <s v="P1881"/>
    <x v="6"/>
    <n v="1302"/>
    <n v="3"/>
    <n v="3"/>
    <n v="18"/>
    <s v="Yes"/>
    <s v="Yes"/>
    <s v="No"/>
    <s v="Yes"/>
    <x v="1"/>
    <n v="11"/>
    <n v="15"/>
    <n v="8450000"/>
    <n v="6490.0153609831032"/>
    <x v="0"/>
  </r>
  <r>
    <s v="P1882"/>
    <x v="1"/>
    <n v="1075"/>
    <n v="2"/>
    <n v="2"/>
    <n v="17"/>
    <s v="Yes"/>
    <s v="Yes"/>
    <s v="Yes"/>
    <s v="Yes"/>
    <x v="0"/>
    <n v="15"/>
    <n v="24"/>
    <n v="5000000"/>
    <n v="4651.1627906976746"/>
    <x v="0"/>
  </r>
  <r>
    <s v="P1883"/>
    <x v="4"/>
    <n v="1235"/>
    <n v="3"/>
    <n v="3"/>
    <n v="21"/>
    <s v="Yes"/>
    <s v="Yes"/>
    <s v="No"/>
    <s v="Yes"/>
    <x v="0"/>
    <n v="9"/>
    <n v="22"/>
    <n v="6900000"/>
    <n v="5587.0445344129557"/>
    <x v="0"/>
  </r>
  <r>
    <s v="P1884"/>
    <x v="0"/>
    <n v="455"/>
    <n v="1"/>
    <n v="1"/>
    <n v="8"/>
    <s v="No"/>
    <s v="Yes"/>
    <s v="No"/>
    <s v="Yes"/>
    <x v="0"/>
    <n v="6"/>
    <n v="18"/>
    <n v="3750000"/>
    <n v="8241.7582417582416"/>
    <x v="1"/>
  </r>
  <r>
    <s v="P1885"/>
    <x v="5"/>
    <n v="1316"/>
    <n v="3"/>
    <n v="3"/>
    <n v="29"/>
    <s v="No"/>
    <s v="No"/>
    <s v="Yes"/>
    <s v="No"/>
    <x v="2"/>
    <n v="6"/>
    <n v="11"/>
    <n v="12500000"/>
    <n v="9498.4802431610951"/>
    <x v="2"/>
  </r>
  <r>
    <s v="P1886"/>
    <x v="4"/>
    <n v="817"/>
    <n v="1"/>
    <n v="1"/>
    <n v="27"/>
    <s v="Yes"/>
    <s v="No"/>
    <s v="No"/>
    <s v="Yes"/>
    <x v="2"/>
    <n v="1"/>
    <n v="4"/>
    <n v="4850000"/>
    <n v="5936.3525091799265"/>
    <x v="1"/>
  </r>
  <r>
    <s v="P1887"/>
    <x v="0"/>
    <n v="1709"/>
    <n v="4"/>
    <n v="4"/>
    <n v="19"/>
    <s v="Yes"/>
    <s v="Yes"/>
    <s v="No"/>
    <s v="Yes"/>
    <x v="2"/>
    <n v="14"/>
    <n v="15"/>
    <n v="13650000"/>
    <n v="7987.1269748390869"/>
    <x v="2"/>
  </r>
  <r>
    <s v="P1888"/>
    <x v="6"/>
    <n v="2156"/>
    <n v="5"/>
    <n v="5"/>
    <n v="8"/>
    <s v="Yes"/>
    <s v="No"/>
    <s v="No"/>
    <s v="No"/>
    <x v="1"/>
    <n v="16"/>
    <n v="17"/>
    <n v="14400000"/>
    <n v="6679.0352504638222"/>
    <x v="2"/>
  </r>
  <r>
    <s v="P1889"/>
    <x v="5"/>
    <n v="1076"/>
    <n v="2"/>
    <n v="2"/>
    <n v="0"/>
    <s v="Yes"/>
    <s v="No"/>
    <s v="Yes"/>
    <s v="Yes"/>
    <x v="0"/>
    <n v="5"/>
    <n v="14"/>
    <n v="10500000"/>
    <n v="9758.3643122676585"/>
    <x v="2"/>
  </r>
  <r>
    <s v="P1890"/>
    <x v="2"/>
    <n v="1740"/>
    <n v="4"/>
    <n v="4"/>
    <n v="3"/>
    <s v="Yes"/>
    <s v="Yes"/>
    <s v="No"/>
    <s v="No"/>
    <x v="1"/>
    <n v="20"/>
    <n v="23"/>
    <n v="9300000"/>
    <n v="5344.8275862068967"/>
    <x v="0"/>
  </r>
  <r>
    <s v="P1891"/>
    <x v="5"/>
    <n v="1460"/>
    <n v="3"/>
    <n v="3"/>
    <n v="12"/>
    <s v="Yes"/>
    <s v="No"/>
    <s v="No"/>
    <s v="No"/>
    <x v="1"/>
    <n v="15"/>
    <n v="21"/>
    <n v="9900000"/>
    <n v="6780.821917808219"/>
    <x v="0"/>
  </r>
  <r>
    <s v="P1892"/>
    <x v="3"/>
    <n v="840"/>
    <n v="2"/>
    <n v="1"/>
    <n v="19"/>
    <s v="Yes"/>
    <s v="Yes"/>
    <s v="No"/>
    <s v="No"/>
    <x v="2"/>
    <n v="3"/>
    <n v="6"/>
    <n v="3400000"/>
    <n v="4047.6190476190477"/>
    <x v="1"/>
  </r>
  <r>
    <s v="P1893"/>
    <x v="1"/>
    <n v="1368"/>
    <n v="3"/>
    <n v="3"/>
    <n v="21"/>
    <s v="Yes"/>
    <s v="Yes"/>
    <s v="No"/>
    <s v="Yes"/>
    <x v="1"/>
    <n v="15"/>
    <n v="19"/>
    <n v="4550000"/>
    <n v="3326.0233918128656"/>
    <x v="1"/>
  </r>
  <r>
    <s v="P1894"/>
    <x v="4"/>
    <n v="1126"/>
    <n v="2"/>
    <n v="2"/>
    <n v="30"/>
    <s v="No"/>
    <s v="Yes"/>
    <s v="No"/>
    <s v="No"/>
    <x v="1"/>
    <n v="8"/>
    <n v="23"/>
    <n v="4600000"/>
    <n v="4085.2575488454709"/>
    <x v="1"/>
  </r>
  <r>
    <s v="P1895"/>
    <x v="5"/>
    <n v="450"/>
    <n v="1"/>
    <n v="1"/>
    <n v="26"/>
    <s v="Yes"/>
    <s v="No"/>
    <s v="No"/>
    <s v="No"/>
    <x v="1"/>
    <n v="7"/>
    <n v="11"/>
    <n v="2500000"/>
    <n v="5555.5555555555557"/>
    <x v="1"/>
  </r>
  <r>
    <s v="P1896"/>
    <x v="0"/>
    <n v="1520"/>
    <n v="3"/>
    <n v="3"/>
    <n v="13"/>
    <s v="Yes"/>
    <s v="Yes"/>
    <s v="No"/>
    <s v="Yes"/>
    <x v="2"/>
    <n v="13"/>
    <n v="23"/>
    <n v="13100000"/>
    <n v="8618.4210526315783"/>
    <x v="2"/>
  </r>
  <r>
    <s v="P1897"/>
    <x v="6"/>
    <n v="862"/>
    <n v="2"/>
    <n v="1"/>
    <n v="8"/>
    <s v="Yes"/>
    <s v="Yes"/>
    <s v="Yes"/>
    <s v="Yes"/>
    <x v="0"/>
    <n v="7"/>
    <n v="18"/>
    <n v="5600000"/>
    <n v="6496.5197215777262"/>
    <x v="0"/>
  </r>
  <r>
    <s v="P1898"/>
    <x v="0"/>
    <n v="1271"/>
    <n v="3"/>
    <n v="2"/>
    <n v="21"/>
    <s v="Yes"/>
    <s v="Yes"/>
    <s v="No"/>
    <s v="Yes"/>
    <x v="2"/>
    <n v="10"/>
    <n v="11"/>
    <n v="12450000"/>
    <n v="9795.4366640440603"/>
    <x v="2"/>
  </r>
  <r>
    <s v="P1899"/>
    <x v="5"/>
    <n v="2067"/>
    <n v="4"/>
    <n v="5"/>
    <n v="24"/>
    <s v="Yes"/>
    <s v="Yes"/>
    <s v="Yes"/>
    <s v="Yes"/>
    <x v="1"/>
    <n v="16"/>
    <n v="20"/>
    <n v="15050000"/>
    <n v="7281.083696178036"/>
    <x v="2"/>
  </r>
  <r>
    <s v="P1900"/>
    <x v="7"/>
    <n v="1398"/>
    <n v="3"/>
    <n v="2"/>
    <n v="6"/>
    <s v="Yes"/>
    <s v="No"/>
    <s v="No"/>
    <s v="No"/>
    <x v="0"/>
    <n v="14"/>
    <n v="22"/>
    <n v="8800000"/>
    <n v="6294.7067238912732"/>
    <x v="0"/>
  </r>
  <r>
    <s v="P1901"/>
    <x v="2"/>
    <n v="851"/>
    <n v="2"/>
    <n v="2"/>
    <n v="28"/>
    <s v="No"/>
    <s v="Yes"/>
    <s v="No"/>
    <s v="Yes"/>
    <x v="1"/>
    <n v="8"/>
    <n v="8"/>
    <n v="3450000"/>
    <n v="4054.0540540540542"/>
    <x v="1"/>
  </r>
  <r>
    <s v="P1902"/>
    <x v="0"/>
    <n v="1160"/>
    <n v="3"/>
    <n v="4"/>
    <n v="17"/>
    <s v="Yes"/>
    <s v="Yes"/>
    <s v="No"/>
    <s v="Yes"/>
    <x v="2"/>
    <n v="19"/>
    <n v="19"/>
    <n v="10700000"/>
    <n v="9224.1379310344819"/>
    <x v="2"/>
  </r>
  <r>
    <s v="P1903"/>
    <x v="3"/>
    <n v="1377"/>
    <n v="3"/>
    <n v="2"/>
    <n v="28"/>
    <s v="Yes"/>
    <s v="Yes"/>
    <s v="No"/>
    <s v="Yes"/>
    <x v="1"/>
    <n v="10"/>
    <n v="19"/>
    <n v="3950000"/>
    <n v="2868.554829339143"/>
    <x v="1"/>
  </r>
  <r>
    <s v="P1904"/>
    <x v="5"/>
    <n v="854"/>
    <n v="2"/>
    <n v="1"/>
    <n v="13"/>
    <s v="Yes"/>
    <s v="Yes"/>
    <s v="Yes"/>
    <s v="No"/>
    <x v="0"/>
    <n v="9"/>
    <n v="16"/>
    <n v="8000000"/>
    <n v="9367.6814988290407"/>
    <x v="0"/>
  </r>
  <r>
    <s v="P1905"/>
    <x v="4"/>
    <n v="1029"/>
    <n v="3"/>
    <n v="2"/>
    <n v="25"/>
    <s v="Yes"/>
    <s v="No"/>
    <s v="No"/>
    <s v="Yes"/>
    <x v="1"/>
    <n v="12"/>
    <n v="14"/>
    <n v="4800000"/>
    <n v="4664.7230320699709"/>
    <x v="1"/>
  </r>
  <r>
    <s v="P1906"/>
    <x v="1"/>
    <n v="1490"/>
    <n v="3"/>
    <n v="4"/>
    <n v="9"/>
    <s v="Yes"/>
    <s v="Yes"/>
    <s v="No"/>
    <s v="Yes"/>
    <x v="1"/>
    <n v="11"/>
    <n v="19"/>
    <n v="5700000"/>
    <n v="3825.5033557046982"/>
    <x v="0"/>
  </r>
  <r>
    <s v="P1907"/>
    <x v="1"/>
    <n v="544"/>
    <n v="2"/>
    <n v="2"/>
    <n v="4"/>
    <s v="Yes"/>
    <s v="No"/>
    <s v="Yes"/>
    <s v="Yes"/>
    <x v="1"/>
    <n v="7"/>
    <n v="20"/>
    <n v="2200000"/>
    <n v="4044.1176470588234"/>
    <x v="1"/>
  </r>
  <r>
    <s v="P1908"/>
    <x v="3"/>
    <n v="1003"/>
    <n v="2"/>
    <n v="2"/>
    <n v="11"/>
    <s v="Yes"/>
    <s v="Yes"/>
    <s v="No"/>
    <s v="Yes"/>
    <x v="1"/>
    <n v="3"/>
    <n v="5"/>
    <n v="3700000"/>
    <n v="3688.9332003988034"/>
    <x v="1"/>
  </r>
  <r>
    <s v="P1909"/>
    <x v="1"/>
    <n v="1837"/>
    <n v="4"/>
    <n v="4"/>
    <n v="19"/>
    <s v="Yes"/>
    <s v="Yes"/>
    <s v="No"/>
    <s v="Yes"/>
    <x v="1"/>
    <n v="9"/>
    <n v="24"/>
    <n v="5700000"/>
    <n v="3102.8851388132825"/>
    <x v="0"/>
  </r>
  <r>
    <s v="P1910"/>
    <x v="5"/>
    <n v="1053"/>
    <n v="1"/>
    <n v="1"/>
    <n v="8"/>
    <s v="Yes"/>
    <s v="No"/>
    <s v="No"/>
    <s v="Yes"/>
    <x v="1"/>
    <n v="2"/>
    <n v="9"/>
    <n v="8450000"/>
    <n v="8024.691358024691"/>
    <x v="0"/>
  </r>
  <r>
    <s v="P1911"/>
    <x v="6"/>
    <n v="1517"/>
    <n v="3"/>
    <n v="4"/>
    <n v="1"/>
    <s v="No"/>
    <s v="No"/>
    <s v="No"/>
    <s v="No"/>
    <x v="0"/>
    <n v="11"/>
    <n v="18"/>
    <n v="11150000"/>
    <n v="7350.0329597890577"/>
    <x v="2"/>
  </r>
  <r>
    <s v="P1912"/>
    <x v="3"/>
    <n v="1361"/>
    <n v="3"/>
    <n v="2"/>
    <n v="18"/>
    <s v="Yes"/>
    <s v="No"/>
    <s v="No"/>
    <s v="Yes"/>
    <x v="1"/>
    <n v="17"/>
    <n v="18"/>
    <n v="5100000"/>
    <n v="3747.2446730345332"/>
    <x v="0"/>
  </r>
  <r>
    <s v="P1913"/>
    <x v="2"/>
    <n v="1079"/>
    <n v="2"/>
    <n v="2"/>
    <n v="15"/>
    <s v="Yes"/>
    <s v="No"/>
    <s v="No"/>
    <s v="No"/>
    <x v="0"/>
    <n v="2"/>
    <n v="11"/>
    <n v="5700000"/>
    <n v="5282.6691380908251"/>
    <x v="0"/>
  </r>
  <r>
    <s v="P1914"/>
    <x v="3"/>
    <n v="1435"/>
    <n v="3"/>
    <n v="3"/>
    <n v="12"/>
    <s v="Yes"/>
    <s v="Yes"/>
    <s v="No"/>
    <s v="Yes"/>
    <x v="1"/>
    <n v="3"/>
    <n v="14"/>
    <n v="5400000"/>
    <n v="3763.0662020905925"/>
    <x v="0"/>
  </r>
  <r>
    <s v="P1915"/>
    <x v="7"/>
    <n v="885"/>
    <n v="2"/>
    <n v="2"/>
    <n v="12"/>
    <s v="Yes"/>
    <s v="No"/>
    <s v="No"/>
    <s v="Yes"/>
    <x v="1"/>
    <n v="1"/>
    <n v="10"/>
    <n v="5500000"/>
    <n v="6214.6892655367228"/>
    <x v="0"/>
  </r>
  <r>
    <s v="P1916"/>
    <x v="6"/>
    <n v="1157"/>
    <n v="2"/>
    <n v="1"/>
    <n v="9"/>
    <s v="No"/>
    <s v="No"/>
    <s v="No"/>
    <s v="Yes"/>
    <x v="1"/>
    <n v="12"/>
    <n v="18"/>
    <n v="7750000"/>
    <n v="6698.3578219533274"/>
    <x v="0"/>
  </r>
  <r>
    <s v="P1917"/>
    <x v="4"/>
    <n v="1289"/>
    <n v="2"/>
    <n v="2"/>
    <n v="24"/>
    <s v="No"/>
    <s v="No"/>
    <s v="Yes"/>
    <s v="Yes"/>
    <x v="2"/>
    <n v="7"/>
    <n v="24"/>
    <n v="7700000"/>
    <n v="5973.6229635376258"/>
    <x v="0"/>
  </r>
  <r>
    <s v="P1918"/>
    <x v="2"/>
    <n v="1348"/>
    <n v="3"/>
    <n v="3"/>
    <n v="19"/>
    <s v="Yes"/>
    <s v="No"/>
    <s v="No"/>
    <s v="Yes"/>
    <x v="1"/>
    <n v="19"/>
    <n v="22"/>
    <n v="5500000"/>
    <n v="4080.1186943620178"/>
    <x v="0"/>
  </r>
  <r>
    <s v="P1919"/>
    <x v="3"/>
    <n v="1128"/>
    <n v="2"/>
    <n v="2"/>
    <n v="1"/>
    <s v="No"/>
    <s v="Yes"/>
    <s v="Yes"/>
    <s v="Yes"/>
    <x v="1"/>
    <n v="10"/>
    <n v="14"/>
    <n v="4900000"/>
    <n v="4343.9716312056735"/>
    <x v="1"/>
  </r>
  <r>
    <s v="P1920"/>
    <x v="1"/>
    <n v="2379"/>
    <n v="5"/>
    <n v="5"/>
    <n v="17"/>
    <s v="Yes"/>
    <s v="No"/>
    <s v="No"/>
    <s v="Yes"/>
    <x v="1"/>
    <n v="20"/>
    <n v="23"/>
    <n v="6750000"/>
    <n v="2837.326607818411"/>
    <x v="0"/>
  </r>
  <r>
    <s v="P1921"/>
    <x v="6"/>
    <n v="1693"/>
    <n v="4"/>
    <n v="4"/>
    <n v="1"/>
    <s v="No"/>
    <s v="Yes"/>
    <s v="No"/>
    <s v="Yes"/>
    <x v="0"/>
    <n v="11"/>
    <n v="24"/>
    <n v="11850000"/>
    <n v="6999.409332545777"/>
    <x v="2"/>
  </r>
  <r>
    <s v="P1922"/>
    <x v="1"/>
    <n v="970"/>
    <n v="2"/>
    <n v="2"/>
    <n v="21"/>
    <s v="Yes"/>
    <s v="Yes"/>
    <s v="No"/>
    <s v="Yes"/>
    <x v="1"/>
    <n v="14"/>
    <n v="24"/>
    <n v="2850000"/>
    <n v="2938.144329896907"/>
    <x v="1"/>
  </r>
  <r>
    <s v="P1923"/>
    <x v="2"/>
    <n v="1493"/>
    <n v="3"/>
    <n v="3"/>
    <n v="11"/>
    <s v="Yes"/>
    <s v="Yes"/>
    <s v="Yes"/>
    <s v="Yes"/>
    <x v="1"/>
    <n v="5"/>
    <n v="10"/>
    <n v="8700000"/>
    <n v="5827.1935699933019"/>
    <x v="0"/>
  </r>
  <r>
    <s v="P1924"/>
    <x v="3"/>
    <n v="1557"/>
    <n v="3"/>
    <n v="3"/>
    <n v="7"/>
    <s v="No"/>
    <s v="No"/>
    <s v="No"/>
    <s v="Yes"/>
    <x v="1"/>
    <n v="19"/>
    <n v="19"/>
    <n v="5500000"/>
    <n v="3532.4341682723184"/>
    <x v="0"/>
  </r>
  <r>
    <s v="P1925"/>
    <x v="2"/>
    <n v="1376"/>
    <n v="3"/>
    <n v="3"/>
    <n v="2"/>
    <s v="Yes"/>
    <s v="No"/>
    <s v="Yes"/>
    <s v="Yes"/>
    <x v="1"/>
    <n v="18"/>
    <n v="18"/>
    <n v="7500000"/>
    <n v="5450.5813953488368"/>
    <x v="0"/>
  </r>
  <r>
    <s v="P1926"/>
    <x v="0"/>
    <n v="1769"/>
    <n v="4"/>
    <n v="4"/>
    <n v="12"/>
    <s v="No"/>
    <s v="No"/>
    <s v="Yes"/>
    <s v="No"/>
    <x v="1"/>
    <n v="3"/>
    <n v="23"/>
    <n v="11850000"/>
    <n v="6698.6998304126628"/>
    <x v="2"/>
  </r>
  <r>
    <s v="P1927"/>
    <x v="3"/>
    <n v="1099"/>
    <n v="2"/>
    <n v="1"/>
    <n v="11"/>
    <s v="Yes"/>
    <s v="Yes"/>
    <s v="No"/>
    <s v="Yes"/>
    <x v="1"/>
    <n v="13"/>
    <n v="24"/>
    <n v="4050000"/>
    <n v="3685.1683348498636"/>
    <x v="1"/>
  </r>
  <r>
    <s v="P1928"/>
    <x v="1"/>
    <n v="992"/>
    <n v="2"/>
    <n v="2"/>
    <n v="28"/>
    <s v="Yes"/>
    <s v="Yes"/>
    <s v="No"/>
    <s v="Yes"/>
    <x v="0"/>
    <n v="1"/>
    <n v="23"/>
    <n v="3500000"/>
    <n v="3528.2258064516127"/>
    <x v="1"/>
  </r>
  <r>
    <s v="P1929"/>
    <x v="0"/>
    <n v="1416"/>
    <n v="3"/>
    <n v="4"/>
    <n v="17"/>
    <s v="Yes"/>
    <s v="No"/>
    <s v="No"/>
    <s v="Yes"/>
    <x v="1"/>
    <n v="8"/>
    <n v="12"/>
    <n v="8400000"/>
    <n v="5932.2033898305081"/>
    <x v="0"/>
  </r>
  <r>
    <s v="P1930"/>
    <x v="5"/>
    <n v="1518"/>
    <n v="3"/>
    <n v="2"/>
    <n v="14"/>
    <s v="Yes"/>
    <s v="Yes"/>
    <s v="Yes"/>
    <s v="Yes"/>
    <x v="0"/>
    <n v="6"/>
    <n v="7"/>
    <n v="12750000"/>
    <n v="8399.209486166008"/>
    <x v="2"/>
  </r>
  <r>
    <s v="P1931"/>
    <x v="7"/>
    <n v="968"/>
    <n v="2"/>
    <n v="2"/>
    <n v="13"/>
    <s v="No"/>
    <s v="Yes"/>
    <s v="No"/>
    <s v="Yes"/>
    <x v="1"/>
    <n v="13"/>
    <n v="23"/>
    <n v="5550000"/>
    <n v="5733.4710743801652"/>
    <x v="0"/>
  </r>
  <r>
    <s v="P1932"/>
    <x v="0"/>
    <n v="863"/>
    <n v="2"/>
    <n v="1"/>
    <n v="20"/>
    <s v="No"/>
    <s v="No"/>
    <s v="No"/>
    <s v="Yes"/>
    <x v="2"/>
    <n v="13"/>
    <n v="19"/>
    <n v="5850000"/>
    <n v="6778.6790266512171"/>
    <x v="0"/>
  </r>
  <r>
    <s v="P1933"/>
    <x v="6"/>
    <n v="1454"/>
    <n v="3"/>
    <n v="3"/>
    <n v="13"/>
    <s v="No"/>
    <s v="No"/>
    <s v="No"/>
    <s v="Yes"/>
    <x v="0"/>
    <n v="20"/>
    <n v="20"/>
    <n v="9750000"/>
    <n v="6705.6396148555705"/>
    <x v="0"/>
  </r>
  <r>
    <s v="P1934"/>
    <x v="0"/>
    <n v="1013"/>
    <n v="2"/>
    <n v="2"/>
    <n v="17"/>
    <s v="Yes"/>
    <s v="No"/>
    <s v="Yes"/>
    <s v="Yes"/>
    <x v="0"/>
    <n v="5"/>
    <n v="16"/>
    <n v="7750000"/>
    <n v="7650.5429417571568"/>
    <x v="0"/>
  </r>
  <r>
    <s v="P1935"/>
    <x v="6"/>
    <n v="2043"/>
    <n v="4"/>
    <n v="3"/>
    <n v="4"/>
    <s v="Yes"/>
    <s v="No"/>
    <s v="No"/>
    <s v="Yes"/>
    <x v="1"/>
    <n v="19"/>
    <n v="23"/>
    <n v="13850000"/>
    <n v="6779.2462065589816"/>
    <x v="2"/>
  </r>
  <r>
    <s v="P1936"/>
    <x v="7"/>
    <n v="1753"/>
    <n v="4"/>
    <n v="3"/>
    <n v="0"/>
    <s v="No"/>
    <s v="Yes"/>
    <s v="No"/>
    <s v="Yes"/>
    <x v="0"/>
    <n v="6"/>
    <n v="7"/>
    <n v="13600000"/>
    <n v="7758.1289218482598"/>
    <x v="2"/>
  </r>
  <r>
    <s v="P1937"/>
    <x v="5"/>
    <n v="1284"/>
    <n v="3"/>
    <n v="3"/>
    <n v="27"/>
    <s v="Yes"/>
    <s v="No"/>
    <s v="Yes"/>
    <s v="Yes"/>
    <x v="2"/>
    <n v="2"/>
    <n v="10"/>
    <n v="12300000"/>
    <n v="9579.4392523364495"/>
    <x v="2"/>
  </r>
  <r>
    <s v="P1938"/>
    <x v="2"/>
    <n v="1361"/>
    <n v="3"/>
    <n v="2"/>
    <n v="11"/>
    <s v="Yes"/>
    <s v="Yes"/>
    <s v="No"/>
    <s v="Yes"/>
    <x v="1"/>
    <n v="15"/>
    <n v="16"/>
    <n v="6300000"/>
    <n v="4628.9493019838355"/>
    <x v="0"/>
  </r>
  <r>
    <s v="P1939"/>
    <x v="3"/>
    <n v="799"/>
    <n v="1"/>
    <n v="1"/>
    <n v="5"/>
    <s v="Yes"/>
    <s v="Yes"/>
    <s v="Yes"/>
    <s v="Yes"/>
    <x v="2"/>
    <n v="15"/>
    <n v="15"/>
    <n v="4700000"/>
    <n v="5882.3529411764703"/>
    <x v="1"/>
  </r>
  <r>
    <s v="P1940"/>
    <x v="4"/>
    <n v="737"/>
    <n v="2"/>
    <n v="2"/>
    <n v="10"/>
    <s v="No"/>
    <s v="No"/>
    <s v="Yes"/>
    <s v="Yes"/>
    <x v="1"/>
    <n v="9"/>
    <n v="12"/>
    <n v="4200000"/>
    <n v="5698.7788331071915"/>
    <x v="1"/>
  </r>
  <r>
    <s v="P1941"/>
    <x v="3"/>
    <n v="1097"/>
    <n v="2"/>
    <n v="2"/>
    <n v="21"/>
    <s v="Yes"/>
    <s v="No"/>
    <s v="No"/>
    <s v="Yes"/>
    <x v="1"/>
    <n v="4"/>
    <n v="8"/>
    <n v="3350000"/>
    <n v="3053.7830446672742"/>
    <x v="1"/>
  </r>
  <r>
    <s v="P1942"/>
    <x v="4"/>
    <n v="1200"/>
    <n v="2"/>
    <n v="2"/>
    <n v="23"/>
    <s v="No"/>
    <s v="Yes"/>
    <s v="No"/>
    <s v="Yes"/>
    <x v="1"/>
    <n v="18"/>
    <n v="23"/>
    <n v="5650000"/>
    <n v="4708.333333333333"/>
    <x v="0"/>
  </r>
  <r>
    <s v="P1943"/>
    <x v="3"/>
    <n v="1257"/>
    <n v="3"/>
    <n v="2"/>
    <n v="16"/>
    <s v="Yes"/>
    <s v="No"/>
    <s v="No"/>
    <s v="Yes"/>
    <x v="2"/>
    <n v="17"/>
    <n v="21"/>
    <n v="6150000"/>
    <n v="4892.6014319809074"/>
    <x v="0"/>
  </r>
  <r>
    <s v="P1944"/>
    <x v="5"/>
    <n v="1061"/>
    <n v="3"/>
    <n v="3"/>
    <n v="12"/>
    <s v="No"/>
    <s v="Yes"/>
    <s v="No"/>
    <s v="Yes"/>
    <x v="1"/>
    <n v="17"/>
    <n v="17"/>
    <n v="6950000"/>
    <n v="6550.4241281809609"/>
    <x v="0"/>
  </r>
  <r>
    <s v="P1945"/>
    <x v="0"/>
    <n v="1916"/>
    <n v="3"/>
    <n v="3"/>
    <n v="10"/>
    <s v="Yes"/>
    <s v="No"/>
    <s v="Yes"/>
    <s v="Yes"/>
    <x v="0"/>
    <n v="9"/>
    <n v="20"/>
    <n v="16850000"/>
    <n v="8794.3632567849691"/>
    <x v="2"/>
  </r>
  <r>
    <s v="P1946"/>
    <x v="4"/>
    <n v="1073"/>
    <n v="2"/>
    <n v="3"/>
    <n v="26"/>
    <s v="Yes"/>
    <s v="No"/>
    <s v="No"/>
    <s v="Yes"/>
    <x v="1"/>
    <n v="17"/>
    <n v="24"/>
    <n v="4550000"/>
    <n v="4240.4473438956202"/>
    <x v="1"/>
  </r>
  <r>
    <s v="P1947"/>
    <x v="0"/>
    <n v="1944"/>
    <n v="4"/>
    <n v="3"/>
    <n v="7"/>
    <s v="Yes"/>
    <s v="Yes"/>
    <s v="No"/>
    <s v="Yes"/>
    <x v="1"/>
    <n v="15"/>
    <n v="18"/>
    <n v="13650000"/>
    <n v="7021.6049382716046"/>
    <x v="2"/>
  </r>
  <r>
    <s v="P1948"/>
    <x v="0"/>
    <n v="1029"/>
    <n v="2"/>
    <n v="3"/>
    <n v="14"/>
    <s v="No"/>
    <s v="No"/>
    <s v="No"/>
    <s v="Yes"/>
    <x v="1"/>
    <n v="13"/>
    <n v="19"/>
    <n v="6650000"/>
    <n v="6462.5850340136058"/>
    <x v="0"/>
  </r>
  <r>
    <s v="P1949"/>
    <x v="7"/>
    <n v="1591"/>
    <n v="4"/>
    <n v="4"/>
    <n v="19"/>
    <s v="No"/>
    <s v="No"/>
    <s v="Yes"/>
    <s v="Yes"/>
    <x v="0"/>
    <n v="20"/>
    <n v="21"/>
    <n v="9300000"/>
    <n v="5845.3802639849155"/>
    <x v="0"/>
  </r>
  <r>
    <s v="P1950"/>
    <x v="5"/>
    <n v="1450"/>
    <n v="3"/>
    <n v="4"/>
    <n v="10"/>
    <s v="No"/>
    <s v="Yes"/>
    <s v="No"/>
    <s v="No"/>
    <x v="1"/>
    <n v="7"/>
    <n v="15"/>
    <n v="9400000"/>
    <n v="6482.7586206896549"/>
    <x v="0"/>
  </r>
  <r>
    <s v="P1951"/>
    <x v="1"/>
    <n v="1169"/>
    <n v="3"/>
    <n v="3"/>
    <n v="13"/>
    <s v="Yes"/>
    <s v="No"/>
    <s v="Yes"/>
    <s v="Yes"/>
    <x v="1"/>
    <n v="8"/>
    <n v="12"/>
    <n v="4300000"/>
    <n v="3678.3575705731396"/>
    <x v="1"/>
  </r>
  <r>
    <s v="P1952"/>
    <x v="4"/>
    <n v="1138"/>
    <n v="2"/>
    <n v="1"/>
    <n v="14"/>
    <s v="Yes"/>
    <s v="No"/>
    <s v="No"/>
    <s v="No"/>
    <x v="1"/>
    <n v="5"/>
    <n v="13"/>
    <n v="5900000"/>
    <n v="5184.5342706502634"/>
    <x v="0"/>
  </r>
  <r>
    <s v="P1953"/>
    <x v="6"/>
    <n v="1214"/>
    <n v="3"/>
    <n v="3"/>
    <n v="17"/>
    <s v="Yes"/>
    <s v="Yes"/>
    <s v="No"/>
    <s v="Yes"/>
    <x v="0"/>
    <n v="16"/>
    <n v="23"/>
    <n v="8800000"/>
    <n v="7248.7644151565073"/>
    <x v="0"/>
  </r>
  <r>
    <s v="P1954"/>
    <x v="2"/>
    <n v="1565"/>
    <n v="4"/>
    <n v="4"/>
    <n v="11"/>
    <s v="Yes"/>
    <s v="Yes"/>
    <s v="No"/>
    <s v="Yes"/>
    <x v="1"/>
    <n v="17"/>
    <n v="20"/>
    <n v="7400000"/>
    <n v="4728.4345047923325"/>
    <x v="0"/>
  </r>
  <r>
    <s v="P1955"/>
    <x v="4"/>
    <n v="1374"/>
    <n v="3"/>
    <n v="3"/>
    <n v="29"/>
    <s v="Yes"/>
    <s v="Yes"/>
    <s v="Yes"/>
    <s v="Yes"/>
    <x v="1"/>
    <n v="3"/>
    <n v="17"/>
    <n v="6600000"/>
    <n v="4803.4934497816594"/>
    <x v="0"/>
  </r>
  <r>
    <s v="P1956"/>
    <x v="7"/>
    <n v="1162"/>
    <n v="2"/>
    <n v="1"/>
    <n v="17"/>
    <s v="Yes"/>
    <s v="Yes"/>
    <s v="No"/>
    <s v="Yes"/>
    <x v="0"/>
    <n v="20"/>
    <n v="20"/>
    <n v="7400000"/>
    <n v="6368.3304647160066"/>
    <x v="0"/>
  </r>
  <r>
    <s v="P1957"/>
    <x v="1"/>
    <n v="1294"/>
    <n v="3"/>
    <n v="3"/>
    <n v="26"/>
    <s v="No"/>
    <s v="No"/>
    <s v="No"/>
    <s v="Yes"/>
    <x v="0"/>
    <n v="4"/>
    <n v="7"/>
    <n v="4150000"/>
    <n v="3207.1097372488407"/>
    <x v="1"/>
  </r>
  <r>
    <s v="P1958"/>
    <x v="1"/>
    <n v="770"/>
    <n v="2"/>
    <n v="2"/>
    <n v="12"/>
    <s v="Yes"/>
    <s v="No"/>
    <s v="No"/>
    <s v="Yes"/>
    <x v="2"/>
    <n v="3"/>
    <n v="22"/>
    <n v="3650000"/>
    <n v="4740.2597402597403"/>
    <x v="1"/>
  </r>
  <r>
    <s v="P1959"/>
    <x v="3"/>
    <n v="1118"/>
    <n v="2"/>
    <n v="2"/>
    <n v="6"/>
    <s v="Yes"/>
    <s v="Yes"/>
    <s v="No"/>
    <s v="Yes"/>
    <x v="1"/>
    <n v="4"/>
    <n v="9"/>
    <n v="4850000"/>
    <n v="4338.1037567084077"/>
    <x v="1"/>
  </r>
  <r>
    <s v="P1960"/>
    <x v="4"/>
    <n v="1434"/>
    <n v="3"/>
    <n v="4"/>
    <n v="10"/>
    <s v="Yes"/>
    <s v="Yes"/>
    <s v="No"/>
    <s v="Yes"/>
    <x v="0"/>
    <n v="1"/>
    <n v="15"/>
    <n v="8300000"/>
    <n v="5788.0055788005575"/>
    <x v="0"/>
  </r>
  <r>
    <s v="P1961"/>
    <x v="7"/>
    <n v="2056"/>
    <n v="4"/>
    <n v="3"/>
    <n v="28"/>
    <s v="Yes"/>
    <s v="Yes"/>
    <s v="No"/>
    <s v="No"/>
    <x v="1"/>
    <n v="18"/>
    <n v="18"/>
    <n v="11150000"/>
    <n v="5423.1517509727628"/>
    <x v="2"/>
  </r>
  <r>
    <s v="P1962"/>
    <x v="6"/>
    <n v="1874"/>
    <n v="4"/>
    <n v="4"/>
    <n v="26"/>
    <s v="Yes"/>
    <s v="Yes"/>
    <s v="No"/>
    <s v="Yes"/>
    <x v="0"/>
    <n v="3"/>
    <n v="15"/>
    <n v="11700000"/>
    <n v="6243.3297758804692"/>
    <x v="2"/>
  </r>
  <r>
    <s v="P1963"/>
    <x v="0"/>
    <n v="701"/>
    <n v="1"/>
    <n v="2"/>
    <n v="22"/>
    <s v="Yes"/>
    <s v="Yes"/>
    <s v="No"/>
    <s v="Yes"/>
    <x v="1"/>
    <n v="20"/>
    <n v="23"/>
    <n v="4700000"/>
    <n v="6704.7075606276749"/>
    <x v="1"/>
  </r>
  <r>
    <s v="P1964"/>
    <x v="1"/>
    <n v="1316"/>
    <n v="3"/>
    <n v="2"/>
    <n v="24"/>
    <s v="Yes"/>
    <s v="Yes"/>
    <s v="No"/>
    <s v="Yes"/>
    <x v="1"/>
    <n v="13"/>
    <n v="19"/>
    <n v="4100000"/>
    <n v="3115.5015197568391"/>
    <x v="1"/>
  </r>
  <r>
    <s v="P1965"/>
    <x v="5"/>
    <n v="1694"/>
    <n v="4"/>
    <n v="4"/>
    <n v="8"/>
    <s v="Yes"/>
    <s v="No"/>
    <s v="Yes"/>
    <s v="Yes"/>
    <x v="1"/>
    <n v="7"/>
    <n v="12"/>
    <n v="14350000"/>
    <n v="8471.0743801652898"/>
    <x v="2"/>
  </r>
  <r>
    <s v="P1966"/>
    <x v="3"/>
    <n v="1305"/>
    <n v="3"/>
    <n v="3"/>
    <n v="23"/>
    <s v="Yes"/>
    <s v="Yes"/>
    <s v="No"/>
    <s v="Yes"/>
    <x v="0"/>
    <n v="13"/>
    <n v="16"/>
    <n v="4950000"/>
    <n v="3793.1034482758619"/>
    <x v="1"/>
  </r>
  <r>
    <s v="P1967"/>
    <x v="3"/>
    <n v="1597"/>
    <n v="3"/>
    <n v="2"/>
    <n v="9"/>
    <s v="Yes"/>
    <s v="No"/>
    <s v="No"/>
    <s v="Yes"/>
    <x v="0"/>
    <n v="1"/>
    <n v="18"/>
    <n v="6250000"/>
    <n v="3913.5879774577334"/>
    <x v="0"/>
  </r>
  <r>
    <s v="P1968"/>
    <x v="7"/>
    <n v="1122"/>
    <n v="3"/>
    <n v="3"/>
    <n v="10"/>
    <s v="Yes"/>
    <s v="No"/>
    <s v="No"/>
    <s v="Yes"/>
    <x v="1"/>
    <n v="14"/>
    <n v="16"/>
    <n v="5950000"/>
    <n v="5303.030303030303"/>
    <x v="0"/>
  </r>
  <r>
    <s v="P1969"/>
    <x v="0"/>
    <n v="1428"/>
    <n v="3"/>
    <n v="4"/>
    <n v="12"/>
    <s v="Yes"/>
    <s v="No"/>
    <s v="No"/>
    <s v="Yes"/>
    <x v="0"/>
    <n v="8"/>
    <n v="18"/>
    <n v="11400000"/>
    <n v="7983.1932773109247"/>
    <x v="2"/>
  </r>
  <r>
    <s v="P1970"/>
    <x v="4"/>
    <n v="2341"/>
    <n v="5"/>
    <n v="4"/>
    <n v="3"/>
    <s v="Yes"/>
    <s v="Yes"/>
    <s v="No"/>
    <s v="Yes"/>
    <x v="1"/>
    <n v="4"/>
    <n v="10"/>
    <n v="12700000"/>
    <n v="5425.0320375907731"/>
    <x v="2"/>
  </r>
  <r>
    <s v="P1971"/>
    <x v="5"/>
    <n v="1409"/>
    <n v="3"/>
    <n v="3"/>
    <n v="18"/>
    <s v="Yes"/>
    <s v="No"/>
    <s v="No"/>
    <s v="Yes"/>
    <x v="1"/>
    <n v="9"/>
    <n v="21"/>
    <n v="7950000"/>
    <n v="5642.2995031937544"/>
    <x v="0"/>
  </r>
  <r>
    <s v="P1972"/>
    <x v="2"/>
    <n v="1393"/>
    <n v="3"/>
    <n v="4"/>
    <n v="7"/>
    <s v="Yes"/>
    <s v="Yes"/>
    <s v="No"/>
    <s v="Yes"/>
    <x v="0"/>
    <n v="6"/>
    <n v="9"/>
    <n v="7850000"/>
    <n v="5635.3194544149319"/>
    <x v="0"/>
  </r>
  <r>
    <s v="P1973"/>
    <x v="7"/>
    <n v="818"/>
    <n v="1"/>
    <n v="1"/>
    <n v="13"/>
    <s v="Yes"/>
    <s v="Yes"/>
    <s v="Yes"/>
    <s v="Yes"/>
    <x v="1"/>
    <n v="3"/>
    <n v="5"/>
    <n v="5200000"/>
    <n v="6356.9682151589241"/>
    <x v="0"/>
  </r>
  <r>
    <s v="P1974"/>
    <x v="5"/>
    <n v="1741"/>
    <n v="4"/>
    <n v="4"/>
    <n v="25"/>
    <s v="Yes"/>
    <s v="No"/>
    <s v="No"/>
    <s v="Yes"/>
    <x v="0"/>
    <n v="15"/>
    <n v="18"/>
    <n v="11050000"/>
    <n v="6346.9270534175757"/>
    <x v="2"/>
  </r>
  <r>
    <s v="P1975"/>
    <x v="1"/>
    <n v="1336"/>
    <n v="3"/>
    <n v="4"/>
    <n v="14"/>
    <s v="Yes"/>
    <s v="No"/>
    <s v="No"/>
    <s v="Yes"/>
    <x v="1"/>
    <n v="17"/>
    <n v="22"/>
    <n v="4350000"/>
    <n v="3255.9880239520958"/>
    <x v="1"/>
  </r>
  <r>
    <s v="P1976"/>
    <x v="0"/>
    <n v="1976"/>
    <n v="4"/>
    <n v="3"/>
    <n v="4"/>
    <s v="No"/>
    <s v="Yes"/>
    <s v="Yes"/>
    <s v="No"/>
    <x v="1"/>
    <n v="10"/>
    <n v="14"/>
    <n v="14200000"/>
    <n v="7186.2348178137654"/>
    <x v="2"/>
  </r>
  <r>
    <s v="P1977"/>
    <x v="1"/>
    <n v="607"/>
    <n v="1"/>
    <n v="1"/>
    <n v="0"/>
    <s v="Yes"/>
    <s v="Yes"/>
    <s v="Yes"/>
    <s v="Yes"/>
    <x v="2"/>
    <n v="13"/>
    <n v="22"/>
    <n v="3850000"/>
    <n v="6342.6688632619444"/>
    <x v="1"/>
  </r>
  <r>
    <s v="P1978"/>
    <x v="0"/>
    <n v="1480"/>
    <n v="3"/>
    <n v="3"/>
    <n v="9"/>
    <s v="Yes"/>
    <s v="Yes"/>
    <s v="No"/>
    <s v="Yes"/>
    <x v="1"/>
    <n v="12"/>
    <n v="20"/>
    <n v="10450000"/>
    <n v="7060.8108108108108"/>
    <x v="2"/>
  </r>
  <r>
    <s v="P1979"/>
    <x v="1"/>
    <n v="2049"/>
    <n v="4"/>
    <n v="3"/>
    <n v="23"/>
    <s v="Yes"/>
    <s v="Yes"/>
    <s v="No"/>
    <s v="Yes"/>
    <x v="0"/>
    <n v="18"/>
    <n v="20"/>
    <n v="7050000"/>
    <n v="3440.7027818448023"/>
    <x v="0"/>
  </r>
  <r>
    <s v="P1980"/>
    <x v="6"/>
    <n v="1276"/>
    <n v="3"/>
    <n v="3"/>
    <n v="28"/>
    <s v="No"/>
    <s v="No"/>
    <s v="No"/>
    <s v="Yes"/>
    <x v="1"/>
    <n v="12"/>
    <n v="16"/>
    <n v="7400000"/>
    <n v="5799.3730407523508"/>
    <x v="0"/>
  </r>
  <r>
    <s v="P1981"/>
    <x v="2"/>
    <n v="1337"/>
    <n v="3"/>
    <n v="4"/>
    <n v="3"/>
    <s v="No"/>
    <s v="No"/>
    <s v="Yes"/>
    <s v="Yes"/>
    <x v="0"/>
    <n v="9"/>
    <n v="19"/>
    <n v="7350000"/>
    <n v="5497.3821989528797"/>
    <x v="0"/>
  </r>
  <r>
    <s v="P1982"/>
    <x v="6"/>
    <n v="923"/>
    <n v="2"/>
    <n v="2"/>
    <n v="16"/>
    <s v="Yes"/>
    <s v="Yes"/>
    <s v="Yes"/>
    <s v="No"/>
    <x v="2"/>
    <n v="9"/>
    <n v="22"/>
    <n v="7500000"/>
    <n v="8125.6771397616467"/>
    <x v="0"/>
  </r>
  <r>
    <s v="P1983"/>
    <x v="2"/>
    <n v="1683"/>
    <n v="4"/>
    <n v="4"/>
    <n v="29"/>
    <s v="Yes"/>
    <s v="Yes"/>
    <s v="No"/>
    <s v="Yes"/>
    <x v="1"/>
    <n v="20"/>
    <n v="20"/>
    <n v="6850000"/>
    <n v="4070.1128936423056"/>
    <x v="0"/>
  </r>
  <r>
    <s v="P1984"/>
    <x v="0"/>
    <n v="1075"/>
    <n v="3"/>
    <n v="3"/>
    <n v="6"/>
    <s v="Yes"/>
    <s v="Yes"/>
    <s v="Yes"/>
    <s v="Yes"/>
    <x v="1"/>
    <n v="4"/>
    <n v="21"/>
    <n v="10000000"/>
    <n v="9302.3255813953492"/>
    <x v="0"/>
  </r>
  <r>
    <s v="P1985"/>
    <x v="4"/>
    <n v="1354"/>
    <n v="3"/>
    <n v="3"/>
    <n v="1"/>
    <s v="Yes"/>
    <s v="Yes"/>
    <s v="No"/>
    <s v="Yes"/>
    <x v="1"/>
    <n v="2"/>
    <n v="22"/>
    <n v="7450000"/>
    <n v="5502.215657311669"/>
    <x v="0"/>
  </r>
  <r>
    <s v="P1986"/>
    <x v="3"/>
    <n v="1046"/>
    <n v="2"/>
    <n v="2"/>
    <n v="9"/>
    <s v="Yes"/>
    <s v="No"/>
    <s v="Yes"/>
    <s v="No"/>
    <x v="0"/>
    <n v="10"/>
    <n v="10"/>
    <n v="5000000"/>
    <n v="4780.1147227533456"/>
    <x v="0"/>
  </r>
  <r>
    <s v="P1987"/>
    <x v="1"/>
    <n v="1454"/>
    <n v="3"/>
    <n v="4"/>
    <n v="18"/>
    <s v="Yes"/>
    <s v="No"/>
    <s v="No"/>
    <s v="Yes"/>
    <x v="1"/>
    <n v="19"/>
    <n v="19"/>
    <n v="4600000"/>
    <n v="3163.6863823933977"/>
    <x v="1"/>
  </r>
  <r>
    <s v="P1988"/>
    <x v="6"/>
    <n v="2427"/>
    <n v="5"/>
    <n v="4"/>
    <n v="0"/>
    <s v="Yes"/>
    <s v="Yes"/>
    <s v="No"/>
    <s v="No"/>
    <x v="1"/>
    <n v="6"/>
    <n v="7"/>
    <n v="16550000"/>
    <n v="6819.1182529872267"/>
    <x v="2"/>
  </r>
  <r>
    <s v="P1989"/>
    <x v="6"/>
    <n v="517"/>
    <n v="1"/>
    <n v="1"/>
    <n v="6"/>
    <s v="Yes"/>
    <s v="No"/>
    <s v="No"/>
    <s v="No"/>
    <x v="1"/>
    <n v="17"/>
    <n v="19"/>
    <n v="3450000"/>
    <n v="6673.1141199226304"/>
    <x v="1"/>
  </r>
  <r>
    <s v="P1990"/>
    <x v="3"/>
    <n v="2016"/>
    <n v="5"/>
    <n v="5"/>
    <n v="15"/>
    <s v="Yes"/>
    <s v="Yes"/>
    <s v="Yes"/>
    <s v="Yes"/>
    <x v="0"/>
    <n v="17"/>
    <n v="20"/>
    <n v="8950000"/>
    <n v="4439.4841269841272"/>
    <x v="0"/>
  </r>
  <r>
    <s v="P1991"/>
    <x v="4"/>
    <n v="1389"/>
    <n v="3"/>
    <n v="3"/>
    <n v="29"/>
    <s v="Yes"/>
    <s v="No"/>
    <s v="Yes"/>
    <s v="No"/>
    <x v="0"/>
    <n v="7"/>
    <n v="9"/>
    <n v="7350000"/>
    <n v="5291.5766738660905"/>
    <x v="0"/>
  </r>
  <r>
    <s v="P1992"/>
    <x v="6"/>
    <n v="921"/>
    <n v="2"/>
    <n v="2"/>
    <n v="7"/>
    <s v="Yes"/>
    <s v="No"/>
    <s v="No"/>
    <s v="Yes"/>
    <x v="0"/>
    <n v="19"/>
    <n v="21"/>
    <n v="7250000"/>
    <n v="7871.8783930510317"/>
    <x v="0"/>
  </r>
  <r>
    <s v="P1993"/>
    <x v="3"/>
    <n v="1536"/>
    <n v="3"/>
    <n v="3"/>
    <n v="11"/>
    <s v="Yes"/>
    <s v="Yes"/>
    <s v="No"/>
    <s v="Yes"/>
    <x v="0"/>
    <n v="20"/>
    <n v="23"/>
    <n v="6150000"/>
    <n v="4003.90625"/>
    <x v="0"/>
  </r>
  <r>
    <s v="P1994"/>
    <x v="3"/>
    <n v="1293"/>
    <n v="3"/>
    <n v="3"/>
    <n v="7"/>
    <s v="No"/>
    <s v="Yes"/>
    <s v="Yes"/>
    <s v="Yes"/>
    <x v="2"/>
    <n v="18"/>
    <n v="23"/>
    <n v="7400000"/>
    <n v="5723.1245166279969"/>
    <x v="0"/>
  </r>
  <r>
    <s v="P1995"/>
    <x v="5"/>
    <n v="1809"/>
    <n v="4"/>
    <n v="4"/>
    <n v="13"/>
    <s v="Yes"/>
    <s v="Yes"/>
    <s v="Yes"/>
    <s v="Yes"/>
    <x v="2"/>
    <n v="6"/>
    <n v="20"/>
    <n v="21500000"/>
    <n v="11885.019347705915"/>
    <x v="2"/>
  </r>
  <r>
    <s v="P1996"/>
    <x v="0"/>
    <n v="1159"/>
    <n v="2"/>
    <n v="2"/>
    <n v="12"/>
    <s v="No"/>
    <s v="No"/>
    <s v="Yes"/>
    <s v="Yes"/>
    <x v="1"/>
    <n v="11"/>
    <n v="16"/>
    <n v="7750000"/>
    <n v="6686.798964624676"/>
    <x v="0"/>
  </r>
  <r>
    <s v="P1997"/>
    <x v="1"/>
    <n v="1716"/>
    <n v="4"/>
    <n v="3"/>
    <n v="0"/>
    <s v="No"/>
    <s v="Yes"/>
    <s v="Yes"/>
    <s v="Yes"/>
    <x v="0"/>
    <n v="2"/>
    <n v="22"/>
    <n v="9050000"/>
    <n v="5273.8927738927741"/>
    <x v="0"/>
  </r>
  <r>
    <s v="P1998"/>
    <x v="1"/>
    <n v="1549"/>
    <n v="3"/>
    <n v="2"/>
    <n v="24"/>
    <s v="Yes"/>
    <s v="Yes"/>
    <s v="No"/>
    <s v="Yes"/>
    <x v="0"/>
    <n v="2"/>
    <n v="18"/>
    <n v="4800000"/>
    <n v="3098.7734021949645"/>
    <x v="1"/>
  </r>
  <r>
    <s v="P1999"/>
    <x v="2"/>
    <n v="863"/>
    <n v="2"/>
    <n v="3"/>
    <n v="8"/>
    <s v="Yes"/>
    <s v="Yes"/>
    <s v="No"/>
    <s v="Yes"/>
    <x v="1"/>
    <n v="2"/>
    <n v="22"/>
    <n v="4150000"/>
    <n v="4808.8064889918887"/>
    <x v="1"/>
  </r>
  <r>
    <s v="P2000"/>
    <x v="4"/>
    <n v="823"/>
    <n v="2"/>
    <n v="1"/>
    <n v="2"/>
    <s v="Yes"/>
    <s v="No"/>
    <s v="No"/>
    <s v="Yes"/>
    <x v="1"/>
    <n v="11"/>
    <n v="20"/>
    <n v="4000000"/>
    <n v="4860.267314702308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A312F-4FB4-4A75-B808-4FA5B934F20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2" firstHeaderRow="1" firstDataRow="1" firstDataCol="1"/>
  <pivotFields count="16">
    <pivotField showAll="0"/>
    <pivotField axis="axisRow" showAll="0" sortType="descending">
      <items count="9">
        <item x="5"/>
        <item x="6"/>
        <item x="2"/>
        <item x="7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6"/>
    </i>
    <i>
      <x v="3"/>
    </i>
    <i>
      <x v="4"/>
    </i>
    <i>
      <x v="2"/>
    </i>
    <i>
      <x v="5"/>
    </i>
    <i>
      <x v="7"/>
    </i>
    <i t="grand">
      <x/>
    </i>
  </rowItems>
  <colItems count="1">
    <i/>
  </colItems>
  <dataFields count="1">
    <dataField name="Average of Price" fld="13" subtotal="average" baseField="1" baseItem="0" numFmtId="164"/>
  </dataFields>
  <formats count="3">
    <format dxfId="10">
      <pivotArea collapsedLevelsAreSubtotals="1" fieldPosition="0">
        <references count="1">
          <reference field="1" count="1">
            <x v="4"/>
          </reference>
        </references>
      </pivotArea>
    </format>
    <format dxfId="9">
      <pivotArea dataOnly="0" labelOnly="1" outline="0" axis="axisValues" fieldPosition="0"/>
    </format>
    <format dxfId="8">
      <pivotArea outline="0" collapsedLevelsAreSubtotals="1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BBAC5-F82E-4287-AA35-8F251DC8DE79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22:B26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1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erage of Price_per_sqft" fld="14" subtotal="average" baseField="10" baseItem="0" numFmtId="164"/>
  </dataFields>
  <formats count="1">
    <format dxfId="0">
      <pivotArea outline="0" collapsedLevelsAreSubtotals="1" fieldPosition="0"/>
    </format>
  </format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4B119-63DB-464B-8D69-223FFF891BC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1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erage of Price" fld="13" subtotal="average" baseField="10" baseItem="0" numFmtId="44"/>
  </dataFields>
  <formats count="1">
    <format dxfId="2">
      <pivotArea outline="0" collapsedLevelsAreSubtotals="1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480E1-6CBA-4F59-8183-CA9A294B08AF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perty_ID" fld="0" subtotal="count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FF7AC-4720-4802-A156-3664343D168E}" name="PropertyData" displayName="PropertyData" ref="A1:P1001" totalsRowShown="0" headerRowDxfId="7" headerRowBorderDxfId="6" tableBorderDxfId="5">
  <autoFilter ref="A1:P1001" xr:uid="{67BFF7AC-4720-4802-A156-3664343D168E}"/>
  <tableColumns count="16">
    <tableColumn id="1" xr3:uid="{74F78820-9D22-4F2C-BAD7-5E9340A3608A}" name="Property_ID"/>
    <tableColumn id="2" xr3:uid="{EC9DB321-79B4-4920-AF91-B8E5F0CD5DD9}" name="Location"/>
    <tableColumn id="3" xr3:uid="{32A09495-322B-4E91-A257-529AC5F18D04}" name="Area_sqft"/>
    <tableColumn id="4" xr3:uid="{AD10AEE0-9463-4E2F-9FBE-4A593B41CF1C}" name="Bedrooms"/>
    <tableColumn id="5" xr3:uid="{97612EE1-4B3C-42FB-A459-D11CC1A264F5}" name="Bathrooms"/>
    <tableColumn id="6" xr3:uid="{39A44D23-371A-4472-A63C-EEF7F39AEC12}" name="Age"/>
    <tableColumn id="7" xr3:uid="{A95FC295-7967-45B2-9EE3-19487AB3421E}" name="Parking"/>
    <tableColumn id="8" xr3:uid="{67D1B970-CDF5-40CB-8BDC-F501814FF007}" name="Gym"/>
    <tableColumn id="9" xr3:uid="{B02082E4-9A47-4CE0-B412-B8BCB9840897}" name="Swimming_Pool"/>
    <tableColumn id="10" xr3:uid="{B10FB382-E299-40AE-BCB2-B4460556AC20}" name="Security"/>
    <tableColumn id="11" xr3:uid="{7DBF40C4-356B-43C6-BFEB-5AEAC2441273}" name="Property_Type"/>
    <tableColumn id="12" xr3:uid="{EC9B7CCD-A97D-47A6-9AA6-D0360E354C68}" name="Floor"/>
    <tableColumn id="13" xr3:uid="{3D53ED63-7C15-44C6-87BD-1F542752D76B}" name="Total_Floors"/>
    <tableColumn id="14" xr3:uid="{C4FE26D5-82B9-4262-8169-35640FBDFB44}" name="Price"/>
    <tableColumn id="15" xr3:uid="{FD8027BB-9F64-4902-A753-2741429FC496}" name="Price_per_sqft" dataDxfId="4">
      <calculatedColumnFormula>PropertyData[[#This Row],[Price]]/PropertyData[[#This Row],[Area_sqft]]</calculatedColumnFormula>
    </tableColumn>
    <tableColumn id="16" xr3:uid="{5CFF6A93-D934-41D7-ADC2-90991DBEF356}" name="Price_Segment" dataDxfId="3">
      <calculatedColumnFormula>IF(N2&lt;5000000,"Budget",IF(N2&lt;=10000000,"Mid-Range","Premium"))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2CA5-693F-4BB9-9F8E-D9A5544655CB}">
  <dimension ref="A3:B12"/>
  <sheetViews>
    <sheetView tabSelected="1" workbookViewId="0">
      <selection activeCell="H30" sqref="H30"/>
    </sheetView>
  </sheetViews>
  <sheetFormatPr defaultRowHeight="14.4"/>
  <cols>
    <col min="1" max="1" width="12.5546875" bestFit="1" customWidth="1"/>
    <col min="2" max="2" width="14.77734375" bestFit="1" customWidth="1"/>
  </cols>
  <sheetData>
    <row r="3" spans="1:2">
      <c r="A3" s="7" t="s">
        <v>1036</v>
      </c>
      <c r="B3" s="9" t="s">
        <v>1038</v>
      </c>
    </row>
    <row r="4" spans="1:2">
      <c r="A4" s="8" t="s">
        <v>1019</v>
      </c>
      <c r="B4" s="9">
        <v>9833050.8474576268</v>
      </c>
    </row>
    <row r="5" spans="1:2">
      <c r="A5" s="8" t="s">
        <v>1020</v>
      </c>
      <c r="B5" s="9">
        <v>9185271.317829458</v>
      </c>
    </row>
    <row r="6" spans="1:2">
      <c r="A6" s="8" t="s">
        <v>1014</v>
      </c>
      <c r="B6" s="9">
        <v>9113380.2816901412</v>
      </c>
    </row>
    <row r="7" spans="1:2">
      <c r="A7" s="8" t="s">
        <v>1021</v>
      </c>
      <c r="B7" s="9">
        <v>8073853.2110091746</v>
      </c>
    </row>
    <row r="8" spans="1:2">
      <c r="A8" s="8" t="s">
        <v>1018</v>
      </c>
      <c r="B8" s="9">
        <v>6753488.3720930228</v>
      </c>
    </row>
    <row r="9" spans="1:2">
      <c r="A9" s="8" t="s">
        <v>1016</v>
      </c>
      <c r="B9" s="9">
        <v>6216814.1592920357</v>
      </c>
    </row>
    <row r="10" spans="1:2">
      <c r="A10" s="8" t="s">
        <v>1017</v>
      </c>
      <c r="B10" s="9">
        <v>5017307.692307692</v>
      </c>
    </row>
    <row r="11" spans="1:2">
      <c r="A11" s="8" t="s">
        <v>1015</v>
      </c>
      <c r="B11" s="9">
        <v>4495384.615384615</v>
      </c>
    </row>
    <row r="12" spans="1:2">
      <c r="A12" s="8" t="s">
        <v>1037</v>
      </c>
      <c r="B12" s="9">
        <v>7329700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3840-8411-4C2C-85F7-8472C5620E12}">
  <dimension ref="A3:B26"/>
  <sheetViews>
    <sheetView workbookViewId="0">
      <selection activeCell="N19" sqref="N19"/>
    </sheetView>
  </sheetViews>
  <sheetFormatPr defaultRowHeight="14.4"/>
  <cols>
    <col min="1" max="1" width="16.88671875" bestFit="1" customWidth="1"/>
    <col min="2" max="2" width="23" bestFit="1" customWidth="1"/>
  </cols>
  <sheetData>
    <row r="3" spans="1:2">
      <c r="A3" s="7" t="s">
        <v>1036</v>
      </c>
      <c r="B3" t="s">
        <v>1038</v>
      </c>
    </row>
    <row r="4" spans="1:2">
      <c r="A4" s="8" t="s">
        <v>1026</v>
      </c>
      <c r="B4" s="11">
        <v>9421428.5714285709</v>
      </c>
    </row>
    <row r="5" spans="1:2">
      <c r="A5" s="8" t="s">
        <v>1024</v>
      </c>
      <c r="B5" s="11">
        <v>7512132.3529411769</v>
      </c>
    </row>
    <row r="6" spans="1:2">
      <c r="A6" s="8" t="s">
        <v>1025</v>
      </c>
      <c r="B6" s="11">
        <v>6868831.1688311687</v>
      </c>
    </row>
    <row r="7" spans="1:2">
      <c r="A7" s="8" t="s">
        <v>1037</v>
      </c>
      <c r="B7" s="11">
        <v>7329700</v>
      </c>
    </row>
    <row r="22" spans="1:2">
      <c r="A22" s="7" t="s">
        <v>1036</v>
      </c>
      <c r="B22" t="s">
        <v>1039</v>
      </c>
    </row>
    <row r="23" spans="1:2">
      <c r="A23" s="8" t="s">
        <v>1026</v>
      </c>
      <c r="B23" s="9">
        <v>7231.8111655665225</v>
      </c>
    </row>
    <row r="24" spans="1:2">
      <c r="A24" s="8" t="s">
        <v>1024</v>
      </c>
      <c r="B24" s="9">
        <v>5908.4836009694163</v>
      </c>
    </row>
    <row r="25" spans="1:2">
      <c r="A25" s="8" t="s">
        <v>1025</v>
      </c>
      <c r="B25" s="9">
        <v>5289.8344821160226</v>
      </c>
    </row>
    <row r="26" spans="1:2">
      <c r="A26" s="8" t="s">
        <v>1037</v>
      </c>
      <c r="B26" s="9">
        <v>5675.6084309906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A191-9916-414B-9DBF-AD56B7B82CFB}">
  <dimension ref="A1:H5"/>
  <sheetViews>
    <sheetView workbookViewId="0">
      <selection activeCell="A8" sqref="A8"/>
    </sheetView>
  </sheetViews>
  <sheetFormatPr defaultRowHeight="14.4"/>
  <cols>
    <col min="1" max="1" width="18.33203125" customWidth="1"/>
    <col min="3" max="3" width="16.33203125" customWidth="1"/>
    <col min="5" max="5" width="18.6640625" customWidth="1"/>
    <col min="7" max="7" width="20.88671875" customWidth="1"/>
  </cols>
  <sheetData>
    <row r="1" spans="1:8">
      <c r="A1" s="12" t="s">
        <v>1040</v>
      </c>
      <c r="B1" s="12"/>
      <c r="C1" s="12"/>
      <c r="D1" s="12"/>
      <c r="E1" s="12"/>
      <c r="F1" s="12"/>
      <c r="G1" s="12"/>
      <c r="H1" s="12"/>
    </row>
    <row r="2" spans="1:8">
      <c r="A2" s="12"/>
      <c r="B2" s="12"/>
      <c r="C2" s="12"/>
      <c r="D2" s="12"/>
      <c r="E2" s="12"/>
      <c r="F2" s="12"/>
      <c r="G2" s="12"/>
      <c r="H2" s="12"/>
    </row>
    <row r="4" spans="1:8" ht="18">
      <c r="A4" s="13" t="s">
        <v>1029</v>
      </c>
      <c r="C4" s="13" t="s">
        <v>1041</v>
      </c>
      <c r="E4" s="13" t="s">
        <v>1032</v>
      </c>
      <c r="G4" s="13" t="s">
        <v>1042</v>
      </c>
    </row>
    <row r="5" spans="1:8">
      <c r="A5">
        <f>COUNTA(PropertyData[Property_ID])</f>
        <v>1000</v>
      </c>
      <c r="C5">
        <f>AVERAGE(PropertyData[Price])</f>
        <v>7329700</v>
      </c>
      <c r="E5">
        <f>MAX(PropertyData[Price])</f>
        <v>21500000</v>
      </c>
      <c r="G5">
        <f>AVERAGE(PropertyData[Price_per_sqft])</f>
        <v>5675.6084309906037</v>
      </c>
    </row>
  </sheetData>
  <mergeCells count="1">
    <mergeCell ref="A1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2D978-00BA-4D91-9A32-0C619DD7BB64}">
  <dimension ref="A3:B7"/>
  <sheetViews>
    <sheetView workbookViewId="0">
      <selection activeCell="E35" sqref="E35"/>
    </sheetView>
  </sheetViews>
  <sheetFormatPr defaultRowHeight="14.4"/>
  <cols>
    <col min="1" max="1" width="12.5546875" bestFit="1" customWidth="1"/>
    <col min="2" max="2" width="19.109375" bestFit="1" customWidth="1"/>
  </cols>
  <sheetData>
    <row r="3" spans="1:2">
      <c r="A3" s="7" t="s">
        <v>1036</v>
      </c>
      <c r="B3" t="s">
        <v>1046</v>
      </c>
    </row>
    <row r="4" spans="1:2">
      <c r="A4" s="8" t="s">
        <v>1043</v>
      </c>
      <c r="B4" s="10">
        <v>257</v>
      </c>
    </row>
    <row r="5" spans="1:2">
      <c r="A5" s="8" t="s">
        <v>1044</v>
      </c>
      <c r="B5" s="10">
        <v>552</v>
      </c>
    </row>
    <row r="6" spans="1:2">
      <c r="A6" s="8" t="s">
        <v>1045</v>
      </c>
      <c r="B6" s="10">
        <v>191</v>
      </c>
    </row>
    <row r="7" spans="1:2">
      <c r="A7" s="8" t="s">
        <v>1037</v>
      </c>
      <c r="B7" s="10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workbookViewId="0">
      <selection activeCell="B8" sqref="A2:P1001"/>
    </sheetView>
  </sheetViews>
  <sheetFormatPr defaultRowHeight="14.4"/>
  <cols>
    <col min="1" max="1" width="13" customWidth="1"/>
    <col min="2" max="2" width="10.109375" customWidth="1"/>
    <col min="3" max="3" width="11" customWidth="1"/>
    <col min="4" max="4" width="11.44140625" customWidth="1"/>
    <col min="5" max="5" width="12.109375" customWidth="1"/>
    <col min="7" max="7" width="9.21875" customWidth="1"/>
    <col min="9" max="9" width="16.44140625" customWidth="1"/>
    <col min="10" max="10" width="9.6640625" customWidth="1"/>
    <col min="11" max="11" width="15.33203125" customWidth="1"/>
    <col min="13" max="13" width="13.109375" customWidth="1"/>
    <col min="14" max="14" width="14.77734375" customWidth="1"/>
    <col min="15" max="15" width="12" customWidth="1"/>
    <col min="16" max="16" width="14.66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1034</v>
      </c>
      <c r="P1" s="1" t="s">
        <v>1035</v>
      </c>
    </row>
    <row r="2" spans="1:17">
      <c r="A2" t="s">
        <v>14</v>
      </c>
      <c r="B2" t="s">
        <v>1014</v>
      </c>
      <c r="C2">
        <v>834</v>
      </c>
      <c r="D2">
        <v>2</v>
      </c>
      <c r="E2">
        <v>3</v>
      </c>
      <c r="F2">
        <v>22</v>
      </c>
      <c r="G2" t="s">
        <v>1022</v>
      </c>
      <c r="H2" t="s">
        <v>1023</v>
      </c>
      <c r="I2" t="s">
        <v>1023</v>
      </c>
      <c r="J2" t="s">
        <v>1022</v>
      </c>
      <c r="K2" t="s">
        <v>1024</v>
      </c>
      <c r="L2">
        <v>2</v>
      </c>
      <c r="M2">
        <v>13</v>
      </c>
      <c r="N2">
        <v>6650000</v>
      </c>
      <c r="O2">
        <f>PropertyData[[#This Row],[Price]]/PropertyData[[#This Row],[Area_sqft]]</f>
        <v>7973.6211031175062</v>
      </c>
      <c r="P2" t="str">
        <f t="shared" ref="P2:P65" si="0">IF(N2&lt;5000000,"Budget",IF(N2&lt;=10000000,"Mid-Range","Premium"))</f>
        <v>Mid-Range</v>
      </c>
    </row>
    <row r="3" spans="1:17">
      <c r="A3" t="s">
        <v>15</v>
      </c>
      <c r="B3" t="s">
        <v>1015</v>
      </c>
      <c r="C3">
        <v>1313</v>
      </c>
      <c r="D3">
        <v>2</v>
      </c>
      <c r="E3">
        <v>3</v>
      </c>
      <c r="F3">
        <v>28</v>
      </c>
      <c r="G3" t="s">
        <v>1022</v>
      </c>
      <c r="H3" t="s">
        <v>1022</v>
      </c>
      <c r="I3" t="s">
        <v>1023</v>
      </c>
      <c r="J3" t="s">
        <v>1022</v>
      </c>
      <c r="K3" t="s">
        <v>1025</v>
      </c>
      <c r="L3">
        <v>16</v>
      </c>
      <c r="M3">
        <v>18</v>
      </c>
      <c r="N3">
        <v>4450000</v>
      </c>
      <c r="O3">
        <f>PropertyData[[#This Row],[Price]]/PropertyData[[#This Row],[Area_sqft]]</f>
        <v>3389.1850723533894</v>
      </c>
      <c r="P3" t="str">
        <f t="shared" si="0"/>
        <v>Budget</v>
      </c>
    </row>
    <row r="4" spans="1:17">
      <c r="A4" t="s">
        <v>16</v>
      </c>
      <c r="B4" t="s">
        <v>1016</v>
      </c>
      <c r="C4">
        <v>1425</v>
      </c>
      <c r="D4">
        <v>3</v>
      </c>
      <c r="E4">
        <v>3</v>
      </c>
      <c r="F4">
        <v>8</v>
      </c>
      <c r="G4" t="s">
        <v>1022</v>
      </c>
      <c r="H4" t="s">
        <v>1023</v>
      </c>
      <c r="I4" t="s">
        <v>1023</v>
      </c>
      <c r="J4" t="s">
        <v>1023</v>
      </c>
      <c r="K4" t="s">
        <v>1025</v>
      </c>
      <c r="L4">
        <v>9</v>
      </c>
      <c r="M4">
        <v>18</v>
      </c>
      <c r="N4">
        <v>6750000</v>
      </c>
      <c r="O4">
        <f>PropertyData[[#This Row],[Price]]/PropertyData[[#This Row],[Area_sqft]]</f>
        <v>4736.8421052631575</v>
      </c>
      <c r="P4" t="str">
        <f t="shared" si="0"/>
        <v>Mid-Range</v>
      </c>
    </row>
    <row r="5" spans="1:17">
      <c r="A5" t="s">
        <v>17</v>
      </c>
      <c r="B5" t="s">
        <v>1017</v>
      </c>
      <c r="C5">
        <v>1047</v>
      </c>
      <c r="E5">
        <v>2</v>
      </c>
      <c r="F5">
        <v>14</v>
      </c>
      <c r="G5" t="s">
        <v>1022</v>
      </c>
      <c r="H5" t="s">
        <v>1022</v>
      </c>
      <c r="I5" t="s">
        <v>1022</v>
      </c>
      <c r="J5" t="s">
        <v>1022</v>
      </c>
      <c r="K5" t="s">
        <v>1025</v>
      </c>
      <c r="L5">
        <v>6</v>
      </c>
      <c r="M5">
        <v>15</v>
      </c>
      <c r="N5">
        <v>3950000</v>
      </c>
      <c r="O5">
        <f>PropertyData[[#This Row],[Price]]/PropertyData[[#This Row],[Area_sqft]]</f>
        <v>3772.6838586437439</v>
      </c>
      <c r="P5" t="str">
        <f t="shared" si="0"/>
        <v>Budget</v>
      </c>
    </row>
    <row r="6" spans="1:17">
      <c r="A6" t="s">
        <v>18</v>
      </c>
      <c r="B6" t="s">
        <v>1016</v>
      </c>
      <c r="C6">
        <v>1757</v>
      </c>
      <c r="D6">
        <v>5</v>
      </c>
      <c r="E6">
        <v>5</v>
      </c>
      <c r="F6">
        <v>3</v>
      </c>
      <c r="G6" t="s">
        <v>1022</v>
      </c>
      <c r="H6" t="s">
        <v>1023</v>
      </c>
      <c r="I6" t="s">
        <v>1022</v>
      </c>
      <c r="J6" t="s">
        <v>1022</v>
      </c>
      <c r="K6" t="s">
        <v>1025</v>
      </c>
      <c r="L6">
        <v>8</v>
      </c>
      <c r="M6">
        <v>23</v>
      </c>
      <c r="N6">
        <v>8400000</v>
      </c>
      <c r="O6">
        <f>PropertyData[[#This Row],[Price]]/PropertyData[[#This Row],[Area_sqft]]</f>
        <v>4780.8764940239043</v>
      </c>
      <c r="P6" t="str">
        <f t="shared" si="0"/>
        <v>Mid-Range</v>
      </c>
    </row>
    <row r="7" spans="1:17">
      <c r="A7" t="s">
        <v>19</v>
      </c>
      <c r="B7" t="s">
        <v>1017</v>
      </c>
      <c r="C7">
        <v>1767</v>
      </c>
      <c r="D7">
        <v>4</v>
      </c>
      <c r="E7">
        <v>4</v>
      </c>
      <c r="F7">
        <v>12</v>
      </c>
      <c r="G7" t="s">
        <v>1022</v>
      </c>
      <c r="H7" t="s">
        <v>1023</v>
      </c>
      <c r="I7" t="s">
        <v>1022</v>
      </c>
      <c r="J7" t="s">
        <v>1023</v>
      </c>
      <c r="K7" t="s">
        <v>1025</v>
      </c>
      <c r="L7">
        <v>1</v>
      </c>
      <c r="M7">
        <v>13</v>
      </c>
      <c r="N7">
        <v>6950000</v>
      </c>
      <c r="O7">
        <f>PropertyData[[#This Row],[Price]]/PropertyData[[#This Row],[Area_sqft]]</f>
        <v>3933.2201471420485</v>
      </c>
      <c r="P7" t="str">
        <f t="shared" si="0"/>
        <v>Mid-Range</v>
      </c>
      <c r="Q7" s="2"/>
    </row>
    <row r="8" spans="1:17">
      <c r="A8" t="s">
        <v>20</v>
      </c>
      <c r="B8" t="s">
        <v>1018</v>
      </c>
      <c r="C8">
        <v>1917</v>
      </c>
      <c r="D8">
        <v>4</v>
      </c>
      <c r="E8">
        <v>3</v>
      </c>
      <c r="F8">
        <v>26</v>
      </c>
      <c r="G8" t="s">
        <v>1022</v>
      </c>
      <c r="H8" t="s">
        <v>1022</v>
      </c>
      <c r="I8" t="s">
        <v>1022</v>
      </c>
      <c r="J8" t="s">
        <v>1023</v>
      </c>
      <c r="K8" t="s">
        <v>1025</v>
      </c>
      <c r="L8">
        <v>8</v>
      </c>
      <c r="M8">
        <v>19</v>
      </c>
      <c r="N8">
        <v>9600000</v>
      </c>
      <c r="O8">
        <f>PropertyData[[#This Row],[Price]]/PropertyData[[#This Row],[Area_sqft]]</f>
        <v>5007.824726134585</v>
      </c>
      <c r="P8" t="str">
        <f t="shared" si="0"/>
        <v>Mid-Range</v>
      </c>
    </row>
    <row r="9" spans="1:17">
      <c r="A9" t="s">
        <v>21</v>
      </c>
      <c r="B9" t="s">
        <v>1019</v>
      </c>
      <c r="C9">
        <v>1196</v>
      </c>
      <c r="D9">
        <v>2</v>
      </c>
      <c r="E9">
        <v>3</v>
      </c>
      <c r="F9">
        <v>26</v>
      </c>
      <c r="G9" t="s">
        <v>1022</v>
      </c>
      <c r="H9" t="s">
        <v>1022</v>
      </c>
      <c r="I9" t="s">
        <v>1023</v>
      </c>
      <c r="J9" t="s">
        <v>1023</v>
      </c>
      <c r="K9" t="s">
        <v>1025</v>
      </c>
      <c r="L9">
        <v>5</v>
      </c>
      <c r="M9">
        <v>18</v>
      </c>
      <c r="N9">
        <v>9000000</v>
      </c>
      <c r="O9">
        <f>PropertyData[[#This Row],[Price]]/PropertyData[[#This Row],[Area_sqft]]</f>
        <v>7525.0836120401336</v>
      </c>
      <c r="P9" t="str">
        <f t="shared" si="0"/>
        <v>Mid-Range</v>
      </c>
    </row>
    <row r="10" spans="1:17">
      <c r="A10" t="s">
        <v>22</v>
      </c>
      <c r="B10" t="s">
        <v>1014</v>
      </c>
      <c r="C10">
        <v>1365</v>
      </c>
      <c r="D10">
        <v>3</v>
      </c>
      <c r="E10">
        <v>3</v>
      </c>
      <c r="F10">
        <v>19</v>
      </c>
      <c r="G10" t="s">
        <v>1022</v>
      </c>
      <c r="H10" t="s">
        <v>1023</v>
      </c>
      <c r="I10" t="s">
        <v>1022</v>
      </c>
      <c r="J10" t="s">
        <v>1022</v>
      </c>
      <c r="K10" t="s">
        <v>1025</v>
      </c>
      <c r="L10">
        <v>15</v>
      </c>
      <c r="M10">
        <v>18</v>
      </c>
      <c r="N10">
        <v>8850000</v>
      </c>
      <c r="O10">
        <f>PropertyData[[#This Row],[Price]]/PropertyData[[#This Row],[Area_sqft]]</f>
        <v>6483.5164835164833</v>
      </c>
      <c r="P10" t="str">
        <f t="shared" si="0"/>
        <v>Mid-Range</v>
      </c>
    </row>
    <row r="11" spans="1:17">
      <c r="A11" t="s">
        <v>23</v>
      </c>
      <c r="B11" t="s">
        <v>1017</v>
      </c>
      <c r="C11">
        <v>1214</v>
      </c>
      <c r="D11">
        <v>2</v>
      </c>
      <c r="E11">
        <v>2</v>
      </c>
      <c r="F11">
        <v>27</v>
      </c>
      <c r="G11" t="s">
        <v>1022</v>
      </c>
      <c r="H11" t="s">
        <v>1022</v>
      </c>
      <c r="I11" t="s">
        <v>1023</v>
      </c>
      <c r="J11" t="s">
        <v>1022</v>
      </c>
      <c r="K11" t="s">
        <v>1025</v>
      </c>
      <c r="L11">
        <v>7</v>
      </c>
      <c r="M11">
        <v>7</v>
      </c>
      <c r="N11">
        <v>4100000</v>
      </c>
      <c r="O11">
        <f>PropertyData[[#This Row],[Price]]/PropertyData[[#This Row],[Area_sqft]]</f>
        <v>3377.2652388797364</v>
      </c>
      <c r="P11" t="str">
        <f t="shared" si="0"/>
        <v>Budget</v>
      </c>
    </row>
    <row r="12" spans="1:17">
      <c r="A12" t="s">
        <v>24</v>
      </c>
      <c r="B12" t="s">
        <v>1020</v>
      </c>
      <c r="C12">
        <v>807</v>
      </c>
      <c r="D12">
        <v>2</v>
      </c>
      <c r="E12">
        <v>2</v>
      </c>
      <c r="F12">
        <v>5</v>
      </c>
      <c r="G12" t="s">
        <v>1022</v>
      </c>
      <c r="H12" t="s">
        <v>1022</v>
      </c>
      <c r="I12" t="s">
        <v>1022</v>
      </c>
      <c r="J12" t="s">
        <v>1022</v>
      </c>
      <c r="K12" t="s">
        <v>1025</v>
      </c>
      <c r="L12">
        <v>12</v>
      </c>
      <c r="M12">
        <v>19</v>
      </c>
      <c r="N12">
        <v>5450000</v>
      </c>
      <c r="O12">
        <f>PropertyData[[#This Row],[Price]]/PropertyData[[#This Row],[Area_sqft]]</f>
        <v>6753.4076827757126</v>
      </c>
      <c r="P12" t="str">
        <f t="shared" si="0"/>
        <v>Mid-Range</v>
      </c>
    </row>
    <row r="13" spans="1:17">
      <c r="A13" t="s">
        <v>25</v>
      </c>
      <c r="B13" t="s">
        <v>1014</v>
      </c>
      <c r="C13">
        <v>930</v>
      </c>
      <c r="D13">
        <v>2</v>
      </c>
      <c r="E13">
        <v>1</v>
      </c>
      <c r="F13">
        <v>25</v>
      </c>
      <c r="G13" t="s">
        <v>1023</v>
      </c>
      <c r="H13" t="s">
        <v>1022</v>
      </c>
      <c r="I13" t="s">
        <v>1023</v>
      </c>
      <c r="J13" t="s">
        <v>1022</v>
      </c>
      <c r="K13" t="s">
        <v>1025</v>
      </c>
      <c r="L13">
        <v>17</v>
      </c>
      <c r="M13">
        <v>24</v>
      </c>
      <c r="N13">
        <v>5500000</v>
      </c>
      <c r="O13">
        <f>PropertyData[[#This Row],[Price]]/PropertyData[[#This Row],[Area_sqft]]</f>
        <v>5913.9784946236559</v>
      </c>
      <c r="P13" t="str">
        <f t="shared" si="0"/>
        <v>Mid-Range</v>
      </c>
    </row>
    <row r="14" spans="1:17">
      <c r="A14" t="s">
        <v>26</v>
      </c>
      <c r="B14" t="s">
        <v>1020</v>
      </c>
      <c r="C14">
        <v>2115</v>
      </c>
      <c r="D14">
        <v>5</v>
      </c>
      <c r="E14">
        <v>5</v>
      </c>
      <c r="F14">
        <v>1</v>
      </c>
      <c r="G14" t="s">
        <v>1022</v>
      </c>
      <c r="H14" t="s">
        <v>1022</v>
      </c>
      <c r="I14" t="s">
        <v>1023</v>
      </c>
      <c r="J14" t="s">
        <v>1022</v>
      </c>
      <c r="K14" t="s">
        <v>1025</v>
      </c>
      <c r="L14">
        <v>11</v>
      </c>
      <c r="M14">
        <v>18</v>
      </c>
      <c r="N14">
        <v>15450000</v>
      </c>
      <c r="O14">
        <f>PropertyData[[#This Row],[Price]]/PropertyData[[#This Row],[Area_sqft]]</f>
        <v>7304.9645390070918</v>
      </c>
      <c r="P14" t="str">
        <f t="shared" si="0"/>
        <v>Premium</v>
      </c>
    </row>
    <row r="15" spans="1:17">
      <c r="A15" t="s">
        <v>27</v>
      </c>
      <c r="B15" t="s">
        <v>1021</v>
      </c>
      <c r="C15">
        <v>1602</v>
      </c>
      <c r="D15">
        <v>3</v>
      </c>
      <c r="E15">
        <v>4</v>
      </c>
      <c r="F15">
        <v>10</v>
      </c>
      <c r="G15" t="s">
        <v>1023</v>
      </c>
      <c r="H15" t="s">
        <v>1023</v>
      </c>
      <c r="I15" t="s">
        <v>1022</v>
      </c>
      <c r="J15" t="s">
        <v>1022</v>
      </c>
      <c r="K15" t="s">
        <v>1025</v>
      </c>
      <c r="L15">
        <v>16</v>
      </c>
      <c r="M15">
        <v>18</v>
      </c>
      <c r="N15">
        <v>10800000</v>
      </c>
      <c r="O15">
        <f>PropertyData[[#This Row],[Price]]/PropertyData[[#This Row],[Area_sqft]]</f>
        <v>6741.5730337078649</v>
      </c>
      <c r="P15" t="str">
        <f t="shared" si="0"/>
        <v>Premium</v>
      </c>
    </row>
    <row r="16" spans="1:17">
      <c r="A16" t="s">
        <v>28</v>
      </c>
      <c r="B16" t="s">
        <v>1016</v>
      </c>
      <c r="C16">
        <v>770</v>
      </c>
      <c r="D16">
        <v>2</v>
      </c>
      <c r="E16">
        <v>2</v>
      </c>
      <c r="F16">
        <v>6</v>
      </c>
      <c r="G16" t="s">
        <v>1022</v>
      </c>
      <c r="H16" t="s">
        <v>1023</v>
      </c>
      <c r="I16" t="s">
        <v>1023</v>
      </c>
      <c r="J16" t="s">
        <v>1023</v>
      </c>
      <c r="K16" t="s">
        <v>1025</v>
      </c>
      <c r="L16">
        <v>1</v>
      </c>
      <c r="M16">
        <v>12</v>
      </c>
      <c r="N16">
        <v>3500000</v>
      </c>
      <c r="O16">
        <f>PropertyData[[#This Row],[Price]]/PropertyData[[#This Row],[Area_sqft]]</f>
        <v>4545.454545454545</v>
      </c>
      <c r="P16" t="str">
        <f t="shared" si="0"/>
        <v>Budget</v>
      </c>
    </row>
    <row r="17" spans="1:16">
      <c r="A17" t="s">
        <v>29</v>
      </c>
      <c r="B17" t="s">
        <v>1016</v>
      </c>
      <c r="C17">
        <v>1196</v>
      </c>
      <c r="D17">
        <v>2</v>
      </c>
      <c r="E17">
        <v>2</v>
      </c>
      <c r="F17">
        <v>25</v>
      </c>
      <c r="G17" t="s">
        <v>1023</v>
      </c>
      <c r="H17" t="s">
        <v>1022</v>
      </c>
      <c r="I17" t="s">
        <v>1023</v>
      </c>
      <c r="J17" t="s">
        <v>1023</v>
      </c>
      <c r="K17" t="s">
        <v>1024</v>
      </c>
      <c r="L17">
        <v>12</v>
      </c>
      <c r="M17">
        <v>16</v>
      </c>
      <c r="N17">
        <v>4650000</v>
      </c>
      <c r="O17">
        <f>PropertyData[[#This Row],[Price]]/PropertyData[[#This Row],[Area_sqft]]</f>
        <v>3887.9598662207359</v>
      </c>
      <c r="P17" t="str">
        <f t="shared" si="0"/>
        <v>Budget</v>
      </c>
    </row>
    <row r="18" spans="1:16">
      <c r="A18" t="s">
        <v>30</v>
      </c>
      <c r="B18" t="s">
        <v>1017</v>
      </c>
      <c r="C18">
        <v>1283</v>
      </c>
      <c r="D18">
        <v>2</v>
      </c>
      <c r="E18">
        <v>1</v>
      </c>
      <c r="F18">
        <v>2</v>
      </c>
      <c r="G18" t="s">
        <v>1023</v>
      </c>
      <c r="H18" t="s">
        <v>1022</v>
      </c>
      <c r="I18" t="s">
        <v>1023</v>
      </c>
      <c r="J18" t="s">
        <v>1023</v>
      </c>
      <c r="K18" t="s">
        <v>1026</v>
      </c>
      <c r="L18">
        <v>17</v>
      </c>
      <c r="M18">
        <v>24</v>
      </c>
      <c r="N18">
        <v>6050000</v>
      </c>
      <c r="O18">
        <f>PropertyData[[#This Row],[Price]]/PropertyData[[#This Row],[Area_sqft]]</f>
        <v>4715.5105222135617</v>
      </c>
      <c r="P18" t="str">
        <f t="shared" si="0"/>
        <v>Mid-Range</v>
      </c>
    </row>
    <row r="19" spans="1:16">
      <c r="A19" t="s">
        <v>31</v>
      </c>
      <c r="B19" t="s">
        <v>1016</v>
      </c>
      <c r="C19">
        <v>1452</v>
      </c>
      <c r="D19">
        <v>3</v>
      </c>
      <c r="E19">
        <v>3</v>
      </c>
      <c r="F19">
        <v>24</v>
      </c>
      <c r="G19" t="s">
        <v>1022</v>
      </c>
      <c r="H19" t="s">
        <v>1022</v>
      </c>
      <c r="I19" t="s">
        <v>1023</v>
      </c>
      <c r="J19" t="s">
        <v>1022</v>
      </c>
      <c r="K19" t="s">
        <v>1026</v>
      </c>
      <c r="L19">
        <v>16</v>
      </c>
      <c r="M19">
        <v>24</v>
      </c>
      <c r="N19">
        <v>8150000</v>
      </c>
      <c r="O19">
        <f>PropertyData[[#This Row],[Price]]/PropertyData[[#This Row],[Area_sqft]]</f>
        <v>5612.9476584022041</v>
      </c>
      <c r="P19" t="str">
        <f t="shared" si="0"/>
        <v>Mid-Range</v>
      </c>
    </row>
    <row r="20" spans="1:16">
      <c r="A20" t="s">
        <v>32</v>
      </c>
      <c r="B20" t="s">
        <v>1016</v>
      </c>
      <c r="C20">
        <v>966</v>
      </c>
      <c r="D20">
        <v>2</v>
      </c>
      <c r="E20">
        <v>3</v>
      </c>
      <c r="F20">
        <v>7</v>
      </c>
      <c r="G20" t="s">
        <v>1023</v>
      </c>
      <c r="H20" t="s">
        <v>1023</v>
      </c>
      <c r="I20" t="s">
        <v>1023</v>
      </c>
      <c r="J20" t="s">
        <v>1022</v>
      </c>
      <c r="K20" t="s">
        <v>1024</v>
      </c>
      <c r="L20">
        <v>19</v>
      </c>
      <c r="M20">
        <v>24</v>
      </c>
      <c r="N20">
        <v>4350000</v>
      </c>
      <c r="O20">
        <f>PropertyData[[#This Row],[Price]]/PropertyData[[#This Row],[Area_sqft]]</f>
        <v>4503.1055900621122</v>
      </c>
      <c r="P20" t="str">
        <f t="shared" si="0"/>
        <v>Budget</v>
      </c>
    </row>
    <row r="21" spans="1:16">
      <c r="A21" t="s">
        <v>33</v>
      </c>
      <c r="B21" t="s">
        <v>1014</v>
      </c>
      <c r="C21">
        <v>1513</v>
      </c>
      <c r="D21">
        <v>3</v>
      </c>
      <c r="E21">
        <v>4</v>
      </c>
      <c r="F21">
        <v>26</v>
      </c>
      <c r="G21" t="s">
        <v>1023</v>
      </c>
      <c r="H21" t="s">
        <v>1022</v>
      </c>
      <c r="I21" t="s">
        <v>1023</v>
      </c>
      <c r="J21" t="s">
        <v>1022</v>
      </c>
      <c r="K21" t="s">
        <v>1025</v>
      </c>
      <c r="L21">
        <v>5</v>
      </c>
      <c r="M21">
        <v>20</v>
      </c>
      <c r="N21">
        <v>8900000</v>
      </c>
      <c r="O21">
        <f>PropertyData[[#This Row],[Price]]/PropertyData[[#This Row],[Area_sqft]]</f>
        <v>5882.3529411764703</v>
      </c>
      <c r="P21" t="str">
        <f t="shared" si="0"/>
        <v>Mid-Range</v>
      </c>
    </row>
    <row r="22" spans="1:16">
      <c r="A22" t="s">
        <v>34</v>
      </c>
      <c r="B22" t="s">
        <v>1021</v>
      </c>
      <c r="C22">
        <v>1347</v>
      </c>
      <c r="D22">
        <v>3</v>
      </c>
      <c r="E22">
        <v>2</v>
      </c>
      <c r="F22">
        <v>13</v>
      </c>
      <c r="G22" t="s">
        <v>1023</v>
      </c>
      <c r="H22" t="s">
        <v>1022</v>
      </c>
      <c r="I22" t="s">
        <v>1022</v>
      </c>
      <c r="J22" t="s">
        <v>1023</v>
      </c>
      <c r="K22" t="s">
        <v>1025</v>
      </c>
      <c r="L22">
        <v>17</v>
      </c>
      <c r="M22">
        <v>22</v>
      </c>
      <c r="N22">
        <v>8250000</v>
      </c>
      <c r="O22">
        <f>PropertyData[[#This Row],[Price]]/PropertyData[[#This Row],[Area_sqft]]</f>
        <v>6124.7216035634747</v>
      </c>
      <c r="P22" t="str">
        <f t="shared" si="0"/>
        <v>Mid-Range</v>
      </c>
    </row>
    <row r="23" spans="1:16">
      <c r="A23" t="s">
        <v>35</v>
      </c>
      <c r="B23" t="s">
        <v>1017</v>
      </c>
      <c r="C23">
        <v>1997</v>
      </c>
      <c r="D23">
        <v>5</v>
      </c>
      <c r="E23">
        <v>5</v>
      </c>
      <c r="F23">
        <v>22</v>
      </c>
      <c r="G23" t="s">
        <v>1022</v>
      </c>
      <c r="H23" t="s">
        <v>1022</v>
      </c>
      <c r="I23" t="s">
        <v>1023</v>
      </c>
      <c r="J23" t="s">
        <v>1022</v>
      </c>
      <c r="K23" t="s">
        <v>1025</v>
      </c>
      <c r="L23">
        <v>3</v>
      </c>
      <c r="M23">
        <v>10</v>
      </c>
      <c r="N23">
        <v>6050000</v>
      </c>
      <c r="O23">
        <f>PropertyData[[#This Row],[Price]]/PropertyData[[#This Row],[Area_sqft]]</f>
        <v>3029.5443164747121</v>
      </c>
      <c r="P23" t="str">
        <f t="shared" si="0"/>
        <v>Mid-Range</v>
      </c>
    </row>
    <row r="24" spans="1:16">
      <c r="A24" t="s">
        <v>36</v>
      </c>
      <c r="B24" t="s">
        <v>1015</v>
      </c>
      <c r="C24">
        <v>1196</v>
      </c>
      <c r="D24">
        <v>3</v>
      </c>
      <c r="E24">
        <v>3</v>
      </c>
      <c r="F24">
        <v>25</v>
      </c>
      <c r="G24" t="s">
        <v>1022</v>
      </c>
      <c r="H24" t="s">
        <v>1023</v>
      </c>
      <c r="I24" t="s">
        <v>1023</v>
      </c>
      <c r="J24" t="s">
        <v>1022</v>
      </c>
      <c r="K24" t="s">
        <v>1025</v>
      </c>
      <c r="L24">
        <v>10</v>
      </c>
      <c r="M24">
        <v>16</v>
      </c>
      <c r="N24">
        <v>3150000</v>
      </c>
      <c r="O24">
        <f>PropertyData[[#This Row],[Price]]/PropertyData[[#This Row],[Area_sqft]]</f>
        <v>2633.7792642140466</v>
      </c>
      <c r="P24" t="str">
        <f t="shared" si="0"/>
        <v>Budget</v>
      </c>
    </row>
    <row r="25" spans="1:16">
      <c r="A25" t="s">
        <v>37</v>
      </c>
      <c r="B25" t="s">
        <v>1019</v>
      </c>
      <c r="C25">
        <v>1537</v>
      </c>
      <c r="D25">
        <v>4</v>
      </c>
      <c r="E25">
        <v>5</v>
      </c>
      <c r="F25">
        <v>7</v>
      </c>
      <c r="G25" t="s">
        <v>1022</v>
      </c>
      <c r="H25" t="s">
        <v>1023</v>
      </c>
      <c r="I25" t="s">
        <v>1023</v>
      </c>
      <c r="J25" t="s">
        <v>1022</v>
      </c>
      <c r="K25" t="s">
        <v>1024</v>
      </c>
      <c r="L25">
        <v>2</v>
      </c>
      <c r="M25">
        <v>3</v>
      </c>
      <c r="N25">
        <v>14200000</v>
      </c>
      <c r="O25">
        <f>PropertyData[[#This Row],[Price]]/PropertyData[[#This Row],[Area_sqft]]</f>
        <v>9238.7768379960962</v>
      </c>
      <c r="P25" t="str">
        <f t="shared" si="0"/>
        <v>Premium</v>
      </c>
    </row>
    <row r="26" spans="1:16">
      <c r="A26" t="s">
        <v>38</v>
      </c>
      <c r="B26" t="s">
        <v>1018</v>
      </c>
      <c r="C26">
        <v>826</v>
      </c>
      <c r="D26">
        <v>1</v>
      </c>
      <c r="E26">
        <v>1</v>
      </c>
      <c r="F26">
        <v>16</v>
      </c>
      <c r="G26" t="s">
        <v>1022</v>
      </c>
      <c r="H26" t="s">
        <v>1023</v>
      </c>
      <c r="I26" t="s">
        <v>1023</v>
      </c>
      <c r="J26" t="s">
        <v>1022</v>
      </c>
      <c r="K26" t="s">
        <v>1025</v>
      </c>
      <c r="L26">
        <v>1</v>
      </c>
      <c r="M26">
        <v>9</v>
      </c>
      <c r="N26">
        <v>3950000</v>
      </c>
      <c r="O26">
        <f>PropertyData[[#This Row],[Price]]/PropertyData[[#This Row],[Area_sqft]]</f>
        <v>4782.0823244552057</v>
      </c>
      <c r="P26" t="str">
        <f t="shared" si="0"/>
        <v>Budget</v>
      </c>
    </row>
    <row r="27" spans="1:16">
      <c r="A27" t="s">
        <v>39</v>
      </c>
      <c r="B27" t="s">
        <v>1017</v>
      </c>
      <c r="C27">
        <v>2079</v>
      </c>
      <c r="D27">
        <v>5</v>
      </c>
      <c r="E27">
        <v>5</v>
      </c>
      <c r="F27">
        <v>29</v>
      </c>
      <c r="G27" t="s">
        <v>1022</v>
      </c>
      <c r="H27" t="s">
        <v>1023</v>
      </c>
      <c r="I27" t="s">
        <v>1023</v>
      </c>
      <c r="J27" t="s">
        <v>1023</v>
      </c>
      <c r="K27" t="s">
        <v>1025</v>
      </c>
      <c r="L27">
        <v>10</v>
      </c>
      <c r="M27">
        <v>23</v>
      </c>
      <c r="N27">
        <v>6200000</v>
      </c>
      <c r="O27">
        <f>PropertyData[[#This Row],[Price]]/PropertyData[[#This Row],[Area_sqft]]</f>
        <v>2982.2029822029822</v>
      </c>
      <c r="P27" t="str">
        <f t="shared" si="0"/>
        <v>Mid-Range</v>
      </c>
    </row>
    <row r="28" spans="1:16">
      <c r="A28" t="s">
        <v>40</v>
      </c>
      <c r="B28" t="s">
        <v>1021</v>
      </c>
      <c r="C28">
        <v>895</v>
      </c>
      <c r="D28">
        <v>2</v>
      </c>
      <c r="E28">
        <v>2</v>
      </c>
      <c r="F28">
        <v>25</v>
      </c>
      <c r="G28" t="s">
        <v>1023</v>
      </c>
      <c r="H28" t="s">
        <v>1023</v>
      </c>
      <c r="I28" t="s">
        <v>1023</v>
      </c>
      <c r="J28" t="s">
        <v>1022</v>
      </c>
      <c r="K28" t="s">
        <v>1024</v>
      </c>
      <c r="L28">
        <v>1</v>
      </c>
      <c r="M28">
        <v>16</v>
      </c>
      <c r="N28">
        <v>5250000</v>
      </c>
      <c r="O28">
        <f>PropertyData[[#This Row],[Price]]/PropertyData[[#This Row],[Area_sqft]]</f>
        <v>5865.921787709497</v>
      </c>
      <c r="P28" t="str">
        <f t="shared" si="0"/>
        <v>Mid-Range</v>
      </c>
    </row>
    <row r="29" spans="1:16">
      <c r="A29" t="s">
        <v>41</v>
      </c>
      <c r="B29" t="s">
        <v>1019</v>
      </c>
      <c r="C29">
        <v>823</v>
      </c>
      <c r="D29">
        <v>2</v>
      </c>
      <c r="E29">
        <v>1</v>
      </c>
      <c r="F29">
        <v>15</v>
      </c>
      <c r="G29" t="s">
        <v>1022</v>
      </c>
      <c r="H29" t="s">
        <v>1023</v>
      </c>
      <c r="I29" t="s">
        <v>1023</v>
      </c>
      <c r="J29" t="s">
        <v>1022</v>
      </c>
      <c r="K29" t="s">
        <v>1025</v>
      </c>
      <c r="L29">
        <v>3</v>
      </c>
      <c r="M29">
        <v>14</v>
      </c>
      <c r="N29">
        <v>6550000</v>
      </c>
      <c r="O29">
        <f>PropertyData[[#This Row],[Price]]/PropertyData[[#This Row],[Area_sqft]]</f>
        <v>7958.6877278250304</v>
      </c>
      <c r="P29" t="str">
        <f t="shared" si="0"/>
        <v>Mid-Range</v>
      </c>
    </row>
    <row r="30" spans="1:16">
      <c r="A30" t="s">
        <v>42</v>
      </c>
      <c r="B30" t="s">
        <v>1019</v>
      </c>
      <c r="C30">
        <v>1227</v>
      </c>
      <c r="D30">
        <v>3</v>
      </c>
      <c r="E30">
        <v>2</v>
      </c>
      <c r="F30">
        <v>14</v>
      </c>
      <c r="G30" t="s">
        <v>1022</v>
      </c>
      <c r="H30" t="s">
        <v>1023</v>
      </c>
      <c r="I30" t="s">
        <v>1023</v>
      </c>
      <c r="J30" t="s">
        <v>1022</v>
      </c>
      <c r="K30" t="s">
        <v>1025</v>
      </c>
      <c r="L30">
        <v>16</v>
      </c>
      <c r="M30">
        <v>20</v>
      </c>
      <c r="N30">
        <v>8950000</v>
      </c>
      <c r="O30">
        <f>PropertyData[[#This Row],[Price]]/PropertyData[[#This Row],[Area_sqft]]</f>
        <v>7294.2135289323551</v>
      </c>
      <c r="P30" t="str">
        <f t="shared" si="0"/>
        <v>Mid-Range</v>
      </c>
    </row>
    <row r="31" spans="1:16">
      <c r="A31" t="s">
        <v>43</v>
      </c>
      <c r="B31" t="s">
        <v>1014</v>
      </c>
      <c r="C31">
        <v>1643</v>
      </c>
      <c r="D31">
        <v>3</v>
      </c>
      <c r="E31">
        <v>4</v>
      </c>
      <c r="F31">
        <v>4</v>
      </c>
      <c r="G31" t="s">
        <v>1023</v>
      </c>
      <c r="H31" t="s">
        <v>1022</v>
      </c>
      <c r="I31" t="s">
        <v>1022</v>
      </c>
      <c r="J31" t="s">
        <v>1023</v>
      </c>
      <c r="K31" t="s">
        <v>1025</v>
      </c>
      <c r="L31">
        <v>1</v>
      </c>
      <c r="M31">
        <v>6</v>
      </c>
      <c r="N31">
        <v>10900000</v>
      </c>
      <c r="O31">
        <f>PropertyData[[#This Row],[Price]]/PropertyData[[#This Row],[Area_sqft]]</f>
        <v>6634.2057212416312</v>
      </c>
      <c r="P31" t="str">
        <f t="shared" si="0"/>
        <v>Premium</v>
      </c>
    </row>
    <row r="32" spans="1:16">
      <c r="A32" t="s">
        <v>44</v>
      </c>
      <c r="B32" t="s">
        <v>1017</v>
      </c>
      <c r="C32">
        <v>812</v>
      </c>
      <c r="D32">
        <v>1</v>
      </c>
      <c r="E32">
        <v>1</v>
      </c>
      <c r="F32">
        <v>26</v>
      </c>
      <c r="G32" t="s">
        <v>1023</v>
      </c>
      <c r="H32" t="s">
        <v>1023</v>
      </c>
      <c r="I32" t="s">
        <v>1023</v>
      </c>
      <c r="J32" t="s">
        <v>1022</v>
      </c>
      <c r="K32" t="s">
        <v>1025</v>
      </c>
      <c r="L32">
        <v>19</v>
      </c>
      <c r="M32">
        <v>21</v>
      </c>
      <c r="N32">
        <v>2250000</v>
      </c>
      <c r="O32">
        <f>PropertyData[[#This Row],[Price]]/PropertyData[[#This Row],[Area_sqft]]</f>
        <v>2770.9359605911332</v>
      </c>
      <c r="P32" t="str">
        <f t="shared" si="0"/>
        <v>Budget</v>
      </c>
    </row>
    <row r="33" spans="1:16">
      <c r="A33" t="s">
        <v>45</v>
      </c>
      <c r="B33" t="s">
        <v>1017</v>
      </c>
      <c r="C33">
        <v>1629</v>
      </c>
      <c r="D33">
        <v>4</v>
      </c>
      <c r="E33">
        <v>4</v>
      </c>
      <c r="F33">
        <v>11</v>
      </c>
      <c r="G33" t="s">
        <v>1022</v>
      </c>
      <c r="H33" t="s">
        <v>1022</v>
      </c>
      <c r="I33" t="s">
        <v>1022</v>
      </c>
      <c r="J33" t="s">
        <v>1022</v>
      </c>
      <c r="K33" t="s">
        <v>1024</v>
      </c>
      <c r="L33">
        <v>17</v>
      </c>
      <c r="M33">
        <v>18</v>
      </c>
      <c r="N33">
        <v>7200000</v>
      </c>
      <c r="O33">
        <f>PropertyData[[#This Row],[Price]]/PropertyData[[#This Row],[Area_sqft]]</f>
        <v>4419.8895027624312</v>
      </c>
      <c r="P33" t="str">
        <f t="shared" si="0"/>
        <v>Mid-Range</v>
      </c>
    </row>
    <row r="34" spans="1:16">
      <c r="A34" t="s">
        <v>46</v>
      </c>
      <c r="B34" t="s">
        <v>1018</v>
      </c>
      <c r="C34">
        <v>1344</v>
      </c>
      <c r="D34">
        <v>3</v>
      </c>
      <c r="E34">
        <v>3</v>
      </c>
      <c r="F34">
        <v>25</v>
      </c>
      <c r="G34" t="s">
        <v>1022</v>
      </c>
      <c r="H34" t="s">
        <v>1023</v>
      </c>
      <c r="I34" t="s">
        <v>1023</v>
      </c>
      <c r="J34" t="s">
        <v>1022</v>
      </c>
      <c r="K34" t="s">
        <v>1025</v>
      </c>
      <c r="L34">
        <v>4</v>
      </c>
      <c r="M34">
        <v>13</v>
      </c>
      <c r="N34">
        <v>5000000</v>
      </c>
      <c r="O34">
        <f>PropertyData[[#This Row],[Price]]/PropertyData[[#This Row],[Area_sqft]]</f>
        <v>3720.2380952380954</v>
      </c>
      <c r="P34" t="str">
        <f t="shared" si="0"/>
        <v>Mid-Range</v>
      </c>
    </row>
    <row r="35" spans="1:16">
      <c r="A35" t="s">
        <v>47</v>
      </c>
      <c r="B35" t="s">
        <v>1017</v>
      </c>
      <c r="C35">
        <v>1239</v>
      </c>
      <c r="D35">
        <v>3</v>
      </c>
      <c r="E35">
        <v>2</v>
      </c>
      <c r="F35">
        <v>16</v>
      </c>
      <c r="G35" t="s">
        <v>1023</v>
      </c>
      <c r="H35" t="s">
        <v>1022</v>
      </c>
      <c r="I35" t="s">
        <v>1023</v>
      </c>
      <c r="J35" t="s">
        <v>1023</v>
      </c>
      <c r="K35" t="s">
        <v>1024</v>
      </c>
      <c r="L35">
        <v>17</v>
      </c>
      <c r="M35">
        <v>23</v>
      </c>
      <c r="N35">
        <v>4750000</v>
      </c>
      <c r="O35">
        <f>PropertyData[[#This Row],[Price]]/PropertyData[[#This Row],[Area_sqft]]</f>
        <v>3833.7368845843421</v>
      </c>
      <c r="P35" t="str">
        <f t="shared" si="0"/>
        <v>Budget</v>
      </c>
    </row>
    <row r="36" spans="1:16">
      <c r="A36" t="s">
        <v>48</v>
      </c>
      <c r="B36" t="s">
        <v>1017</v>
      </c>
      <c r="C36">
        <v>991</v>
      </c>
      <c r="D36">
        <v>2</v>
      </c>
      <c r="E36">
        <v>1</v>
      </c>
      <c r="F36">
        <v>24</v>
      </c>
      <c r="G36" t="s">
        <v>1022</v>
      </c>
      <c r="H36" t="s">
        <v>1023</v>
      </c>
      <c r="I36" t="s">
        <v>1023</v>
      </c>
      <c r="J36" t="s">
        <v>1022</v>
      </c>
      <c r="K36" t="s">
        <v>1024</v>
      </c>
      <c r="L36">
        <v>9</v>
      </c>
      <c r="M36">
        <v>11</v>
      </c>
      <c r="N36">
        <v>4400000</v>
      </c>
      <c r="O36">
        <f>PropertyData[[#This Row],[Price]]/PropertyData[[#This Row],[Area_sqft]]</f>
        <v>4439.9596367305749</v>
      </c>
      <c r="P36" t="str">
        <f t="shared" si="0"/>
        <v>Budget</v>
      </c>
    </row>
    <row r="37" spans="1:16">
      <c r="A37" t="s">
        <v>49</v>
      </c>
      <c r="B37" t="s">
        <v>1016</v>
      </c>
      <c r="C37">
        <v>2094</v>
      </c>
      <c r="D37">
        <v>4</v>
      </c>
      <c r="E37">
        <v>4</v>
      </c>
      <c r="F37">
        <v>20</v>
      </c>
      <c r="G37" t="s">
        <v>1022</v>
      </c>
      <c r="H37" t="s">
        <v>1023</v>
      </c>
      <c r="I37" t="s">
        <v>1023</v>
      </c>
      <c r="J37" t="s">
        <v>1022</v>
      </c>
      <c r="K37" t="s">
        <v>1025</v>
      </c>
      <c r="L37">
        <v>16</v>
      </c>
      <c r="M37">
        <v>24</v>
      </c>
      <c r="N37">
        <v>9350000</v>
      </c>
      <c r="O37">
        <f>PropertyData[[#This Row],[Price]]/PropertyData[[#This Row],[Area_sqft]]</f>
        <v>4465.1384909264561</v>
      </c>
      <c r="P37" t="str">
        <f t="shared" si="0"/>
        <v>Mid-Range</v>
      </c>
    </row>
    <row r="38" spans="1:16">
      <c r="A38" t="s">
        <v>50</v>
      </c>
      <c r="B38" t="s">
        <v>1014</v>
      </c>
      <c r="C38">
        <v>1525</v>
      </c>
      <c r="D38">
        <v>3</v>
      </c>
      <c r="E38">
        <v>3</v>
      </c>
      <c r="F38">
        <v>10</v>
      </c>
      <c r="G38" t="s">
        <v>1022</v>
      </c>
      <c r="H38" t="s">
        <v>1023</v>
      </c>
      <c r="I38" t="s">
        <v>1023</v>
      </c>
      <c r="J38" t="s">
        <v>1023</v>
      </c>
      <c r="K38" t="s">
        <v>1025</v>
      </c>
      <c r="L38">
        <v>17</v>
      </c>
      <c r="M38">
        <v>21</v>
      </c>
      <c r="N38">
        <v>10050000</v>
      </c>
      <c r="O38">
        <f>PropertyData[[#This Row],[Price]]/PropertyData[[#This Row],[Area_sqft]]</f>
        <v>6590.1639344262294</v>
      </c>
      <c r="P38" t="str">
        <f t="shared" si="0"/>
        <v>Premium</v>
      </c>
    </row>
    <row r="39" spans="1:16">
      <c r="A39" t="s">
        <v>51</v>
      </c>
      <c r="B39" t="s">
        <v>1015</v>
      </c>
      <c r="C39">
        <v>1509</v>
      </c>
      <c r="D39">
        <v>3</v>
      </c>
      <c r="E39">
        <v>3</v>
      </c>
      <c r="F39">
        <v>1</v>
      </c>
      <c r="G39" t="s">
        <v>1022</v>
      </c>
      <c r="H39" t="s">
        <v>1022</v>
      </c>
      <c r="I39" t="s">
        <v>1023</v>
      </c>
      <c r="J39" t="s">
        <v>1022</v>
      </c>
      <c r="K39" t="s">
        <v>1025</v>
      </c>
      <c r="L39">
        <v>1</v>
      </c>
      <c r="M39">
        <v>23</v>
      </c>
      <c r="N39">
        <v>5750000</v>
      </c>
      <c r="O39">
        <f>PropertyData[[#This Row],[Price]]/PropertyData[[#This Row],[Area_sqft]]</f>
        <v>3810.470510271703</v>
      </c>
      <c r="P39" t="str">
        <f t="shared" si="0"/>
        <v>Mid-Range</v>
      </c>
    </row>
    <row r="40" spans="1:16">
      <c r="A40" t="s">
        <v>52</v>
      </c>
      <c r="B40" t="s">
        <v>1016</v>
      </c>
      <c r="C40">
        <v>1630</v>
      </c>
      <c r="D40">
        <v>4</v>
      </c>
      <c r="E40">
        <v>5</v>
      </c>
      <c r="F40">
        <v>30</v>
      </c>
      <c r="G40" t="s">
        <v>1022</v>
      </c>
      <c r="H40" t="s">
        <v>1022</v>
      </c>
      <c r="I40" t="s">
        <v>1023</v>
      </c>
      <c r="J40" t="s">
        <v>1022</v>
      </c>
      <c r="K40" t="s">
        <v>1025</v>
      </c>
      <c r="L40">
        <v>19</v>
      </c>
      <c r="M40">
        <v>24</v>
      </c>
      <c r="N40">
        <v>7150000</v>
      </c>
      <c r="O40">
        <f>PropertyData[[#This Row],[Price]]/PropertyData[[#This Row],[Area_sqft]]</f>
        <v>4386.503067484663</v>
      </c>
      <c r="P40" t="str">
        <f t="shared" si="0"/>
        <v>Mid-Range</v>
      </c>
    </row>
    <row r="41" spans="1:16">
      <c r="A41" t="s">
        <v>53</v>
      </c>
      <c r="B41" t="s">
        <v>1021</v>
      </c>
      <c r="C41">
        <v>1203</v>
      </c>
      <c r="D41">
        <v>2</v>
      </c>
      <c r="E41">
        <v>2</v>
      </c>
      <c r="F41">
        <v>30</v>
      </c>
      <c r="G41" t="s">
        <v>1022</v>
      </c>
      <c r="H41" t="s">
        <v>1023</v>
      </c>
      <c r="I41" t="s">
        <v>1023</v>
      </c>
      <c r="J41" t="s">
        <v>1023</v>
      </c>
      <c r="K41" t="s">
        <v>1025</v>
      </c>
      <c r="L41">
        <v>17</v>
      </c>
      <c r="M41">
        <v>17</v>
      </c>
      <c r="N41">
        <v>6050000</v>
      </c>
      <c r="O41">
        <f>PropertyData[[#This Row],[Price]]/PropertyData[[#This Row],[Area_sqft]]</f>
        <v>5029.0939318370738</v>
      </c>
      <c r="P41" t="str">
        <f t="shared" si="0"/>
        <v>Mid-Range</v>
      </c>
    </row>
    <row r="42" spans="1:16">
      <c r="A42" t="s">
        <v>54</v>
      </c>
      <c r="B42" t="s">
        <v>1018</v>
      </c>
      <c r="C42">
        <v>1390</v>
      </c>
      <c r="D42">
        <v>3</v>
      </c>
      <c r="E42">
        <v>3</v>
      </c>
      <c r="F42">
        <v>4</v>
      </c>
      <c r="G42" t="s">
        <v>1022</v>
      </c>
      <c r="H42" t="s">
        <v>1023</v>
      </c>
      <c r="I42" t="s">
        <v>1022</v>
      </c>
      <c r="J42" t="s">
        <v>1022</v>
      </c>
      <c r="K42" t="s">
        <v>1025</v>
      </c>
      <c r="L42">
        <v>17</v>
      </c>
      <c r="M42">
        <v>22</v>
      </c>
      <c r="N42">
        <v>7900000</v>
      </c>
      <c r="O42">
        <f>PropertyData[[#This Row],[Price]]/PropertyData[[#This Row],[Area_sqft]]</f>
        <v>5683.4532374100718</v>
      </c>
      <c r="P42" t="str">
        <f t="shared" si="0"/>
        <v>Mid-Range</v>
      </c>
    </row>
    <row r="43" spans="1:16">
      <c r="A43" t="s">
        <v>55</v>
      </c>
      <c r="B43" t="s">
        <v>1014</v>
      </c>
      <c r="C43">
        <v>1330</v>
      </c>
      <c r="D43">
        <v>3</v>
      </c>
      <c r="E43">
        <v>3</v>
      </c>
      <c r="F43">
        <v>27</v>
      </c>
      <c r="G43" t="s">
        <v>1022</v>
      </c>
      <c r="H43" t="s">
        <v>1022</v>
      </c>
      <c r="I43" t="s">
        <v>1023</v>
      </c>
      <c r="J43" t="s">
        <v>1022</v>
      </c>
      <c r="K43" t="s">
        <v>1025</v>
      </c>
      <c r="L43">
        <v>18</v>
      </c>
      <c r="M43">
        <v>21</v>
      </c>
      <c r="N43">
        <v>8650000</v>
      </c>
      <c r="O43">
        <f>PropertyData[[#This Row],[Price]]/PropertyData[[#This Row],[Area_sqft]]</f>
        <v>6503.7593984962405</v>
      </c>
      <c r="P43" t="str">
        <f t="shared" si="0"/>
        <v>Mid-Range</v>
      </c>
    </row>
    <row r="44" spans="1:16">
      <c r="A44" t="s">
        <v>56</v>
      </c>
      <c r="B44" t="s">
        <v>1016</v>
      </c>
      <c r="C44">
        <v>1111</v>
      </c>
      <c r="D44">
        <v>2</v>
      </c>
      <c r="E44">
        <v>2</v>
      </c>
      <c r="F44">
        <v>0</v>
      </c>
      <c r="G44" t="s">
        <v>1022</v>
      </c>
      <c r="H44" t="s">
        <v>1023</v>
      </c>
      <c r="I44" t="s">
        <v>1023</v>
      </c>
      <c r="J44" t="s">
        <v>1022</v>
      </c>
      <c r="K44" t="s">
        <v>1025</v>
      </c>
      <c r="L44">
        <v>3</v>
      </c>
      <c r="M44">
        <v>8</v>
      </c>
      <c r="N44">
        <v>6250000</v>
      </c>
      <c r="O44">
        <f>PropertyData[[#This Row],[Price]]/PropertyData[[#This Row],[Area_sqft]]</f>
        <v>5625.5625562556252</v>
      </c>
      <c r="P44" t="str">
        <f t="shared" si="0"/>
        <v>Mid-Range</v>
      </c>
    </row>
    <row r="45" spans="1:16">
      <c r="A45" t="s">
        <v>57</v>
      </c>
      <c r="B45" t="s">
        <v>1019</v>
      </c>
      <c r="C45">
        <v>1476</v>
      </c>
      <c r="D45">
        <v>3</v>
      </c>
      <c r="E45">
        <v>2</v>
      </c>
      <c r="F45">
        <v>17</v>
      </c>
      <c r="G45" t="s">
        <v>1022</v>
      </c>
      <c r="H45" t="s">
        <v>1022</v>
      </c>
      <c r="I45" t="s">
        <v>1023</v>
      </c>
      <c r="J45" t="s">
        <v>1022</v>
      </c>
      <c r="K45" t="s">
        <v>1025</v>
      </c>
      <c r="L45">
        <v>18</v>
      </c>
      <c r="M45">
        <v>24</v>
      </c>
      <c r="N45">
        <v>11000000</v>
      </c>
      <c r="O45">
        <f>PropertyData[[#This Row],[Price]]/PropertyData[[#This Row],[Area_sqft]]</f>
        <v>7452.5745257452572</v>
      </c>
      <c r="P45" t="str">
        <f t="shared" si="0"/>
        <v>Premium</v>
      </c>
    </row>
    <row r="46" spans="1:16">
      <c r="A46" t="s">
        <v>58</v>
      </c>
      <c r="B46" t="s">
        <v>1020</v>
      </c>
      <c r="C46">
        <v>1329</v>
      </c>
      <c r="D46">
        <v>3</v>
      </c>
      <c r="E46">
        <v>2</v>
      </c>
      <c r="F46">
        <v>2</v>
      </c>
      <c r="G46" t="s">
        <v>1022</v>
      </c>
      <c r="H46" t="s">
        <v>1022</v>
      </c>
      <c r="I46" t="s">
        <v>1022</v>
      </c>
      <c r="J46" t="s">
        <v>1022</v>
      </c>
      <c r="K46" t="s">
        <v>1025</v>
      </c>
      <c r="L46">
        <v>5</v>
      </c>
      <c r="M46">
        <v>9</v>
      </c>
      <c r="N46">
        <v>11000000</v>
      </c>
      <c r="O46">
        <f>PropertyData[[#This Row],[Price]]/PropertyData[[#This Row],[Area_sqft]]</f>
        <v>8276.8999247554548</v>
      </c>
      <c r="P46" t="str">
        <f t="shared" si="0"/>
        <v>Premium</v>
      </c>
    </row>
    <row r="47" spans="1:16">
      <c r="A47" t="s">
        <v>59</v>
      </c>
      <c r="B47" t="s">
        <v>1015</v>
      </c>
      <c r="C47">
        <v>1293</v>
      </c>
      <c r="D47">
        <v>3</v>
      </c>
      <c r="E47">
        <v>4</v>
      </c>
      <c r="F47">
        <v>13</v>
      </c>
      <c r="G47" t="s">
        <v>1022</v>
      </c>
      <c r="H47" t="s">
        <v>1022</v>
      </c>
      <c r="I47" t="s">
        <v>1022</v>
      </c>
      <c r="J47" t="s">
        <v>1023</v>
      </c>
      <c r="K47" t="s">
        <v>1026</v>
      </c>
      <c r="L47">
        <v>8</v>
      </c>
      <c r="M47">
        <v>9</v>
      </c>
      <c r="N47">
        <v>5750000</v>
      </c>
      <c r="O47">
        <f>PropertyData[[#This Row],[Price]]/PropertyData[[#This Row],[Area_sqft]]</f>
        <v>4447.022428460944</v>
      </c>
      <c r="P47" t="str">
        <f t="shared" si="0"/>
        <v>Mid-Range</v>
      </c>
    </row>
    <row r="48" spans="1:16">
      <c r="A48" t="s">
        <v>60</v>
      </c>
      <c r="B48" t="s">
        <v>1016</v>
      </c>
      <c r="C48">
        <v>1079</v>
      </c>
      <c r="D48">
        <v>1</v>
      </c>
      <c r="E48">
        <v>1</v>
      </c>
      <c r="F48">
        <v>26</v>
      </c>
      <c r="G48" t="s">
        <v>1022</v>
      </c>
      <c r="H48" t="s">
        <v>1023</v>
      </c>
      <c r="I48" t="s">
        <v>1023</v>
      </c>
      <c r="J48" t="s">
        <v>1022</v>
      </c>
      <c r="K48" t="s">
        <v>1025</v>
      </c>
      <c r="L48">
        <v>17</v>
      </c>
      <c r="M48">
        <v>24</v>
      </c>
      <c r="N48">
        <v>4250000</v>
      </c>
      <c r="O48">
        <f>PropertyData[[#This Row],[Price]]/PropertyData[[#This Row],[Area_sqft]]</f>
        <v>3938.8322520852639</v>
      </c>
      <c r="P48" t="str">
        <f t="shared" si="0"/>
        <v>Budget</v>
      </c>
    </row>
    <row r="49" spans="1:16">
      <c r="A49" t="s">
        <v>61</v>
      </c>
      <c r="B49" t="s">
        <v>1014</v>
      </c>
      <c r="C49">
        <v>1556</v>
      </c>
      <c r="D49">
        <v>3</v>
      </c>
      <c r="E49">
        <v>4</v>
      </c>
      <c r="F49">
        <v>6</v>
      </c>
      <c r="G49" t="s">
        <v>1022</v>
      </c>
      <c r="H49" t="s">
        <v>1022</v>
      </c>
      <c r="I49" t="s">
        <v>1023</v>
      </c>
      <c r="J49" t="s">
        <v>1022</v>
      </c>
      <c r="K49" t="s">
        <v>1025</v>
      </c>
      <c r="L49">
        <v>15</v>
      </c>
      <c r="M49">
        <v>17</v>
      </c>
      <c r="N49">
        <v>11900000</v>
      </c>
      <c r="O49">
        <f>PropertyData[[#This Row],[Price]]/PropertyData[[#This Row],[Area_sqft]]</f>
        <v>7647.8149100257069</v>
      </c>
      <c r="P49" t="str">
        <f t="shared" si="0"/>
        <v>Premium</v>
      </c>
    </row>
    <row r="50" spans="1:16">
      <c r="A50" t="s">
        <v>62</v>
      </c>
      <c r="B50" t="s">
        <v>1014</v>
      </c>
      <c r="C50">
        <v>1262</v>
      </c>
      <c r="D50">
        <v>3</v>
      </c>
      <c r="E50">
        <v>2</v>
      </c>
      <c r="F50">
        <v>22</v>
      </c>
      <c r="G50" t="s">
        <v>1022</v>
      </c>
      <c r="H50" t="s">
        <v>1023</v>
      </c>
      <c r="I50" t="s">
        <v>1023</v>
      </c>
      <c r="J50" t="s">
        <v>1022</v>
      </c>
      <c r="K50" t="s">
        <v>1024</v>
      </c>
      <c r="L50">
        <v>17</v>
      </c>
      <c r="M50">
        <v>18</v>
      </c>
      <c r="N50">
        <v>9550000</v>
      </c>
      <c r="O50">
        <f>PropertyData[[#This Row],[Price]]/PropertyData[[#This Row],[Area_sqft]]</f>
        <v>7567.3534072900156</v>
      </c>
      <c r="P50" t="str">
        <f t="shared" si="0"/>
        <v>Mid-Range</v>
      </c>
    </row>
    <row r="51" spans="1:16">
      <c r="A51" t="s">
        <v>63</v>
      </c>
      <c r="B51" t="s">
        <v>1020</v>
      </c>
      <c r="C51">
        <v>1075</v>
      </c>
      <c r="D51">
        <v>3</v>
      </c>
      <c r="E51">
        <v>3</v>
      </c>
      <c r="F51">
        <v>29</v>
      </c>
      <c r="G51" t="s">
        <v>1022</v>
      </c>
      <c r="H51" t="s">
        <v>1022</v>
      </c>
      <c r="I51" t="s">
        <v>1022</v>
      </c>
      <c r="J51" t="s">
        <v>1022</v>
      </c>
      <c r="K51" t="s">
        <v>1025</v>
      </c>
      <c r="L51">
        <v>16</v>
      </c>
      <c r="M51">
        <v>21</v>
      </c>
      <c r="N51">
        <v>6950000</v>
      </c>
      <c r="O51">
        <f>PropertyData[[#This Row],[Price]]/PropertyData[[#This Row],[Area_sqft]]</f>
        <v>6465.1162790697672</v>
      </c>
      <c r="P51" t="str">
        <f t="shared" si="0"/>
        <v>Mid-Range</v>
      </c>
    </row>
    <row r="52" spans="1:16">
      <c r="A52" t="s">
        <v>64</v>
      </c>
      <c r="B52" t="s">
        <v>1018</v>
      </c>
      <c r="C52">
        <v>1038</v>
      </c>
      <c r="D52">
        <v>2</v>
      </c>
      <c r="E52">
        <v>1</v>
      </c>
      <c r="F52">
        <v>28</v>
      </c>
      <c r="G52" t="s">
        <v>1023</v>
      </c>
      <c r="H52" t="s">
        <v>1023</v>
      </c>
      <c r="I52" t="s">
        <v>1022</v>
      </c>
      <c r="J52" t="s">
        <v>1023</v>
      </c>
      <c r="K52" t="s">
        <v>1024</v>
      </c>
      <c r="L52">
        <v>18</v>
      </c>
      <c r="M52">
        <v>21</v>
      </c>
      <c r="N52">
        <v>5300000</v>
      </c>
      <c r="O52">
        <f>PropertyData[[#This Row],[Price]]/PropertyData[[#This Row],[Area_sqft]]</f>
        <v>5105.9730250481698</v>
      </c>
      <c r="P52" t="str">
        <f t="shared" si="0"/>
        <v>Mid-Range</v>
      </c>
    </row>
    <row r="53" spans="1:16">
      <c r="A53" t="s">
        <v>65</v>
      </c>
      <c r="B53" t="s">
        <v>1019</v>
      </c>
      <c r="C53">
        <v>663</v>
      </c>
      <c r="D53">
        <v>2</v>
      </c>
      <c r="E53">
        <v>1</v>
      </c>
      <c r="F53">
        <v>13</v>
      </c>
      <c r="G53" t="s">
        <v>1022</v>
      </c>
      <c r="H53" t="s">
        <v>1022</v>
      </c>
      <c r="I53" t="s">
        <v>1023</v>
      </c>
      <c r="J53" t="s">
        <v>1022</v>
      </c>
      <c r="K53" t="s">
        <v>1025</v>
      </c>
      <c r="L53">
        <v>15</v>
      </c>
      <c r="M53">
        <v>23</v>
      </c>
      <c r="N53">
        <v>5400000</v>
      </c>
      <c r="O53">
        <f>PropertyData[[#This Row],[Price]]/PropertyData[[#This Row],[Area_sqft]]</f>
        <v>8144.7963800904981</v>
      </c>
      <c r="P53" t="str">
        <f t="shared" si="0"/>
        <v>Mid-Range</v>
      </c>
    </row>
    <row r="54" spans="1:16">
      <c r="A54" t="s">
        <v>66</v>
      </c>
      <c r="B54" t="s">
        <v>1015</v>
      </c>
      <c r="C54">
        <v>1782</v>
      </c>
      <c r="D54">
        <v>4</v>
      </c>
      <c r="E54">
        <v>5</v>
      </c>
      <c r="F54">
        <v>19</v>
      </c>
      <c r="G54" t="s">
        <v>1022</v>
      </c>
      <c r="H54" t="s">
        <v>1022</v>
      </c>
      <c r="I54" t="s">
        <v>1023</v>
      </c>
      <c r="J54" t="s">
        <v>1022</v>
      </c>
      <c r="K54" t="s">
        <v>1025</v>
      </c>
      <c r="L54">
        <v>14</v>
      </c>
      <c r="M54">
        <v>21</v>
      </c>
      <c r="N54">
        <v>5550000</v>
      </c>
      <c r="O54">
        <f>PropertyData[[#This Row],[Price]]/PropertyData[[#This Row],[Area_sqft]]</f>
        <v>3114.4781144781145</v>
      </c>
      <c r="P54" t="str">
        <f t="shared" si="0"/>
        <v>Mid-Range</v>
      </c>
    </row>
    <row r="55" spans="1:16">
      <c r="A55" t="s">
        <v>67</v>
      </c>
      <c r="B55" t="s">
        <v>1019</v>
      </c>
      <c r="C55">
        <v>903</v>
      </c>
      <c r="D55">
        <v>1</v>
      </c>
      <c r="E55">
        <v>1</v>
      </c>
      <c r="F55">
        <v>13</v>
      </c>
      <c r="G55" t="s">
        <v>1022</v>
      </c>
      <c r="H55" t="s">
        <v>1022</v>
      </c>
      <c r="I55" t="s">
        <v>1023</v>
      </c>
      <c r="J55" t="s">
        <v>1022</v>
      </c>
      <c r="K55" t="s">
        <v>1024</v>
      </c>
      <c r="L55">
        <v>19</v>
      </c>
      <c r="M55">
        <v>19</v>
      </c>
      <c r="N55">
        <v>8100000</v>
      </c>
      <c r="O55">
        <f>PropertyData[[#This Row],[Price]]/PropertyData[[#This Row],[Area_sqft]]</f>
        <v>8970.0996677740859</v>
      </c>
      <c r="P55" t="str">
        <f t="shared" si="0"/>
        <v>Mid-Range</v>
      </c>
    </row>
    <row r="56" spans="1:16">
      <c r="A56" t="s">
        <v>68</v>
      </c>
      <c r="B56" t="s">
        <v>1014</v>
      </c>
      <c r="C56">
        <v>519</v>
      </c>
      <c r="D56">
        <v>1</v>
      </c>
      <c r="E56">
        <v>1</v>
      </c>
      <c r="F56">
        <v>12</v>
      </c>
      <c r="G56" t="s">
        <v>1022</v>
      </c>
      <c r="H56" t="s">
        <v>1023</v>
      </c>
      <c r="I56" t="s">
        <v>1023</v>
      </c>
      <c r="J56" t="s">
        <v>1022</v>
      </c>
      <c r="K56" t="s">
        <v>1025</v>
      </c>
      <c r="L56">
        <v>15</v>
      </c>
      <c r="M56">
        <v>18</v>
      </c>
      <c r="N56">
        <v>3550000</v>
      </c>
      <c r="O56">
        <f>PropertyData[[#This Row],[Price]]/PropertyData[[#This Row],[Area_sqft]]</f>
        <v>6840.0770712909443</v>
      </c>
      <c r="P56" t="str">
        <f t="shared" si="0"/>
        <v>Budget</v>
      </c>
    </row>
    <row r="57" spans="1:16">
      <c r="A57" t="s">
        <v>69</v>
      </c>
      <c r="B57" t="s">
        <v>1014</v>
      </c>
      <c r="C57">
        <v>988</v>
      </c>
      <c r="D57">
        <v>3</v>
      </c>
      <c r="E57">
        <v>2</v>
      </c>
      <c r="F57">
        <v>4</v>
      </c>
      <c r="G57" t="s">
        <v>1022</v>
      </c>
      <c r="H57" t="s">
        <v>1023</v>
      </c>
      <c r="I57" t="s">
        <v>1023</v>
      </c>
      <c r="J57" t="s">
        <v>1022</v>
      </c>
      <c r="K57" t="s">
        <v>1024</v>
      </c>
      <c r="L57">
        <v>13</v>
      </c>
      <c r="M57">
        <v>18</v>
      </c>
      <c r="N57">
        <v>8600000</v>
      </c>
      <c r="O57">
        <f>PropertyData[[#This Row],[Price]]/PropertyData[[#This Row],[Area_sqft]]</f>
        <v>8704.4534412955472</v>
      </c>
      <c r="P57" t="str">
        <f t="shared" si="0"/>
        <v>Mid-Range</v>
      </c>
    </row>
    <row r="58" spans="1:16">
      <c r="A58" t="s">
        <v>70</v>
      </c>
      <c r="B58" t="s">
        <v>1017</v>
      </c>
      <c r="C58">
        <v>717</v>
      </c>
      <c r="D58">
        <v>1</v>
      </c>
      <c r="E58">
        <v>2</v>
      </c>
      <c r="F58">
        <v>3</v>
      </c>
      <c r="G58" t="s">
        <v>1023</v>
      </c>
      <c r="H58" t="s">
        <v>1022</v>
      </c>
      <c r="I58" t="s">
        <v>1023</v>
      </c>
      <c r="J58" t="s">
        <v>1022</v>
      </c>
      <c r="K58" t="s">
        <v>1026</v>
      </c>
      <c r="L58">
        <v>9</v>
      </c>
      <c r="M58">
        <v>15</v>
      </c>
      <c r="N58">
        <v>3550000</v>
      </c>
      <c r="O58">
        <f>PropertyData[[#This Row],[Price]]/PropertyData[[#This Row],[Area_sqft]]</f>
        <v>4951.1854951185496</v>
      </c>
      <c r="P58" t="str">
        <f t="shared" si="0"/>
        <v>Budget</v>
      </c>
    </row>
    <row r="59" spans="1:16">
      <c r="A59" t="s">
        <v>71</v>
      </c>
      <c r="B59" t="s">
        <v>1021</v>
      </c>
      <c r="C59">
        <v>1193</v>
      </c>
      <c r="D59">
        <v>2</v>
      </c>
      <c r="E59">
        <v>2</v>
      </c>
      <c r="F59">
        <v>14</v>
      </c>
      <c r="G59" t="s">
        <v>1023</v>
      </c>
      <c r="H59" t="s">
        <v>1022</v>
      </c>
      <c r="I59" t="s">
        <v>1022</v>
      </c>
      <c r="J59" t="s">
        <v>1022</v>
      </c>
      <c r="K59" t="s">
        <v>1025</v>
      </c>
      <c r="L59">
        <v>2</v>
      </c>
      <c r="M59">
        <v>16</v>
      </c>
      <c r="N59">
        <v>7400000</v>
      </c>
      <c r="O59">
        <f>PropertyData[[#This Row],[Price]]/PropertyData[[#This Row],[Area_sqft]]</f>
        <v>6202.849958088852</v>
      </c>
      <c r="P59" t="str">
        <f t="shared" si="0"/>
        <v>Mid-Range</v>
      </c>
    </row>
    <row r="60" spans="1:16">
      <c r="A60" t="s">
        <v>72</v>
      </c>
      <c r="B60" t="s">
        <v>1021</v>
      </c>
      <c r="C60">
        <v>886</v>
      </c>
      <c r="D60">
        <v>2</v>
      </c>
      <c r="E60">
        <v>2</v>
      </c>
      <c r="F60">
        <v>19</v>
      </c>
      <c r="G60" t="s">
        <v>1022</v>
      </c>
      <c r="H60" t="s">
        <v>1022</v>
      </c>
      <c r="I60" t="s">
        <v>1023</v>
      </c>
      <c r="J60" t="s">
        <v>1022</v>
      </c>
      <c r="K60" t="s">
        <v>1025</v>
      </c>
      <c r="L60">
        <v>5</v>
      </c>
      <c r="M60">
        <v>15</v>
      </c>
      <c r="N60">
        <v>5300000</v>
      </c>
      <c r="O60">
        <f>PropertyData[[#This Row],[Price]]/PropertyData[[#This Row],[Area_sqft]]</f>
        <v>5981.9413092550794</v>
      </c>
      <c r="P60" t="str">
        <f t="shared" si="0"/>
        <v>Mid-Range</v>
      </c>
    </row>
    <row r="61" spans="1:16">
      <c r="A61" t="s">
        <v>73</v>
      </c>
      <c r="B61" t="s">
        <v>1014</v>
      </c>
      <c r="C61">
        <v>1215</v>
      </c>
      <c r="D61">
        <v>3</v>
      </c>
      <c r="E61">
        <v>2</v>
      </c>
      <c r="F61">
        <v>4</v>
      </c>
      <c r="G61" t="s">
        <v>1022</v>
      </c>
      <c r="H61" t="s">
        <v>1023</v>
      </c>
      <c r="I61" t="s">
        <v>1023</v>
      </c>
      <c r="J61" t="s">
        <v>1023</v>
      </c>
      <c r="K61" t="s">
        <v>1025</v>
      </c>
      <c r="L61">
        <v>1</v>
      </c>
      <c r="M61">
        <v>6</v>
      </c>
      <c r="N61">
        <v>7050000</v>
      </c>
      <c r="O61">
        <f>PropertyData[[#This Row],[Price]]/PropertyData[[#This Row],[Area_sqft]]</f>
        <v>5802.4691358024693</v>
      </c>
      <c r="P61" t="str">
        <f t="shared" si="0"/>
        <v>Mid-Range</v>
      </c>
    </row>
    <row r="62" spans="1:16">
      <c r="A62" t="s">
        <v>74</v>
      </c>
      <c r="B62" t="s">
        <v>1020</v>
      </c>
      <c r="C62">
        <v>1453</v>
      </c>
      <c r="D62">
        <v>3</v>
      </c>
      <c r="E62">
        <v>3</v>
      </c>
      <c r="F62">
        <v>29</v>
      </c>
      <c r="G62" t="s">
        <v>1022</v>
      </c>
      <c r="H62" t="s">
        <v>1022</v>
      </c>
      <c r="I62" t="s">
        <v>1023</v>
      </c>
      <c r="J62" t="s">
        <v>1023</v>
      </c>
      <c r="K62" t="s">
        <v>1024</v>
      </c>
      <c r="L62">
        <v>2</v>
      </c>
      <c r="M62">
        <v>13</v>
      </c>
      <c r="N62">
        <v>8650000</v>
      </c>
      <c r="O62">
        <f>PropertyData[[#This Row],[Price]]/PropertyData[[#This Row],[Area_sqft]]</f>
        <v>5953.2002752924982</v>
      </c>
      <c r="P62" t="str">
        <f t="shared" si="0"/>
        <v>Mid-Range</v>
      </c>
    </row>
    <row r="63" spans="1:16">
      <c r="A63" t="s">
        <v>75</v>
      </c>
      <c r="B63" t="s">
        <v>1021</v>
      </c>
      <c r="C63">
        <v>1328</v>
      </c>
      <c r="D63">
        <v>3</v>
      </c>
      <c r="E63">
        <v>3</v>
      </c>
      <c r="F63">
        <v>8</v>
      </c>
      <c r="G63" t="s">
        <v>1023</v>
      </c>
      <c r="H63" t="s">
        <v>1023</v>
      </c>
      <c r="I63" t="s">
        <v>1023</v>
      </c>
      <c r="J63" t="s">
        <v>1022</v>
      </c>
      <c r="K63" t="s">
        <v>1025</v>
      </c>
      <c r="L63">
        <v>19</v>
      </c>
      <c r="M63">
        <v>21</v>
      </c>
      <c r="N63">
        <v>7700000</v>
      </c>
      <c r="O63">
        <f>PropertyData[[#This Row],[Price]]/PropertyData[[#This Row],[Area_sqft]]</f>
        <v>5798.1927710843374</v>
      </c>
      <c r="P63" t="str">
        <f t="shared" si="0"/>
        <v>Mid-Range</v>
      </c>
    </row>
    <row r="64" spans="1:16">
      <c r="A64" t="s">
        <v>76</v>
      </c>
      <c r="B64" t="s">
        <v>1015</v>
      </c>
      <c r="C64">
        <v>1357</v>
      </c>
      <c r="D64">
        <v>2</v>
      </c>
      <c r="E64">
        <v>3</v>
      </c>
      <c r="F64">
        <v>7</v>
      </c>
      <c r="G64" t="s">
        <v>1022</v>
      </c>
      <c r="H64" t="s">
        <v>1022</v>
      </c>
      <c r="I64" t="s">
        <v>1023</v>
      </c>
      <c r="J64" t="s">
        <v>1022</v>
      </c>
      <c r="K64" t="s">
        <v>1025</v>
      </c>
      <c r="L64">
        <v>15</v>
      </c>
      <c r="M64">
        <v>15</v>
      </c>
      <c r="N64">
        <v>5350000</v>
      </c>
      <c r="O64">
        <f>PropertyData[[#This Row],[Price]]/PropertyData[[#This Row],[Area_sqft]]</f>
        <v>3942.5202652910834</v>
      </c>
      <c r="P64" t="str">
        <f t="shared" si="0"/>
        <v>Mid-Range</v>
      </c>
    </row>
    <row r="65" spans="1:16">
      <c r="A65" t="s">
        <v>77</v>
      </c>
      <c r="B65" t="s">
        <v>1020</v>
      </c>
      <c r="C65">
        <v>1210</v>
      </c>
      <c r="D65">
        <v>2</v>
      </c>
      <c r="E65">
        <v>2</v>
      </c>
      <c r="F65">
        <v>18</v>
      </c>
      <c r="G65" t="s">
        <v>1022</v>
      </c>
      <c r="H65" t="s">
        <v>1022</v>
      </c>
      <c r="I65" t="s">
        <v>1023</v>
      </c>
      <c r="J65" t="s">
        <v>1022</v>
      </c>
      <c r="K65" t="s">
        <v>1025</v>
      </c>
      <c r="L65">
        <v>10</v>
      </c>
      <c r="M65">
        <v>13</v>
      </c>
      <c r="N65">
        <v>7500000</v>
      </c>
      <c r="O65">
        <f>PropertyData[[#This Row],[Price]]/PropertyData[[#This Row],[Area_sqft]]</f>
        <v>6198.3471074380168</v>
      </c>
      <c r="P65" t="str">
        <f t="shared" si="0"/>
        <v>Mid-Range</v>
      </c>
    </row>
    <row r="66" spans="1:16">
      <c r="A66" t="s">
        <v>78</v>
      </c>
      <c r="B66" t="s">
        <v>1014</v>
      </c>
      <c r="C66">
        <v>1262</v>
      </c>
      <c r="D66">
        <v>3</v>
      </c>
      <c r="E66">
        <v>3</v>
      </c>
      <c r="F66">
        <v>0</v>
      </c>
      <c r="G66" t="s">
        <v>1022</v>
      </c>
      <c r="H66" t="s">
        <v>1023</v>
      </c>
      <c r="I66" t="s">
        <v>1022</v>
      </c>
      <c r="J66" t="s">
        <v>1022</v>
      </c>
      <c r="K66" t="s">
        <v>1024</v>
      </c>
      <c r="L66">
        <v>2</v>
      </c>
      <c r="M66">
        <v>11</v>
      </c>
      <c r="N66">
        <v>11450000</v>
      </c>
      <c r="O66">
        <f>PropertyData[[#This Row],[Price]]/PropertyData[[#This Row],[Area_sqft]]</f>
        <v>9072.9001584786056</v>
      </c>
      <c r="P66" t="str">
        <f t="shared" ref="P66:P129" si="1">IF(N66&lt;5000000,"Budget",IF(N66&lt;=10000000,"Mid-Range","Premium"))</f>
        <v>Premium</v>
      </c>
    </row>
    <row r="67" spans="1:16">
      <c r="A67" t="s">
        <v>79</v>
      </c>
      <c r="B67" t="s">
        <v>1017</v>
      </c>
      <c r="C67">
        <v>1001</v>
      </c>
      <c r="D67">
        <v>2</v>
      </c>
      <c r="E67">
        <v>3</v>
      </c>
      <c r="F67">
        <v>28</v>
      </c>
      <c r="G67" t="s">
        <v>1022</v>
      </c>
      <c r="H67" t="s">
        <v>1022</v>
      </c>
      <c r="I67" t="s">
        <v>1023</v>
      </c>
      <c r="J67" t="s">
        <v>1022</v>
      </c>
      <c r="K67" t="s">
        <v>1024</v>
      </c>
      <c r="L67">
        <v>19</v>
      </c>
      <c r="M67">
        <v>21</v>
      </c>
      <c r="N67">
        <v>3350000</v>
      </c>
      <c r="O67">
        <f>PropertyData[[#This Row],[Price]]/PropertyData[[#This Row],[Area_sqft]]</f>
        <v>3346.6533466533465</v>
      </c>
      <c r="P67" t="str">
        <f t="shared" si="1"/>
        <v>Budget</v>
      </c>
    </row>
    <row r="68" spans="1:16">
      <c r="A68" t="s">
        <v>80</v>
      </c>
      <c r="B68" t="s">
        <v>1016</v>
      </c>
      <c r="C68">
        <v>837</v>
      </c>
      <c r="D68">
        <v>2</v>
      </c>
      <c r="E68">
        <v>3</v>
      </c>
      <c r="F68">
        <v>22</v>
      </c>
      <c r="G68" t="s">
        <v>1022</v>
      </c>
      <c r="H68" t="s">
        <v>1023</v>
      </c>
      <c r="I68" t="s">
        <v>1022</v>
      </c>
      <c r="J68" t="s">
        <v>1022</v>
      </c>
      <c r="K68" t="s">
        <v>1025</v>
      </c>
      <c r="L68">
        <v>18</v>
      </c>
      <c r="M68">
        <v>18</v>
      </c>
      <c r="N68">
        <v>3500000</v>
      </c>
      <c r="O68">
        <f>PropertyData[[#This Row],[Price]]/PropertyData[[#This Row],[Area_sqft]]</f>
        <v>4181.6009557945044</v>
      </c>
      <c r="P68" t="str">
        <f t="shared" si="1"/>
        <v>Budget</v>
      </c>
    </row>
    <row r="69" spans="1:16">
      <c r="A69" t="s">
        <v>81</v>
      </c>
      <c r="B69" t="s">
        <v>1020</v>
      </c>
      <c r="C69">
        <v>1966</v>
      </c>
      <c r="D69">
        <v>4</v>
      </c>
      <c r="E69">
        <v>4</v>
      </c>
      <c r="F69">
        <v>30</v>
      </c>
      <c r="G69" t="s">
        <v>1022</v>
      </c>
      <c r="H69" t="s">
        <v>1022</v>
      </c>
      <c r="I69" t="s">
        <v>1023</v>
      </c>
      <c r="J69" t="s">
        <v>1023</v>
      </c>
      <c r="K69" t="s">
        <v>1025</v>
      </c>
      <c r="L69">
        <v>11</v>
      </c>
      <c r="M69">
        <v>17</v>
      </c>
      <c r="N69">
        <v>11100000</v>
      </c>
      <c r="O69">
        <f>PropertyData[[#This Row],[Price]]/PropertyData[[#This Row],[Area_sqft]]</f>
        <v>5645.9816887080369</v>
      </c>
      <c r="P69" t="str">
        <f t="shared" si="1"/>
        <v>Premium</v>
      </c>
    </row>
    <row r="70" spans="1:16">
      <c r="A70" t="s">
        <v>82</v>
      </c>
      <c r="B70" t="s">
        <v>1020</v>
      </c>
      <c r="C70">
        <v>2160</v>
      </c>
      <c r="D70">
        <v>5</v>
      </c>
      <c r="E70">
        <v>5</v>
      </c>
      <c r="F70">
        <v>7</v>
      </c>
      <c r="G70" t="s">
        <v>1022</v>
      </c>
      <c r="H70" t="s">
        <v>1022</v>
      </c>
      <c r="I70" t="s">
        <v>1023</v>
      </c>
      <c r="J70" t="s">
        <v>1022</v>
      </c>
      <c r="K70" t="s">
        <v>1025</v>
      </c>
      <c r="L70">
        <v>9</v>
      </c>
      <c r="M70">
        <v>11</v>
      </c>
      <c r="N70">
        <v>15950000</v>
      </c>
      <c r="O70">
        <f>PropertyData[[#This Row],[Price]]/PropertyData[[#This Row],[Area_sqft]]</f>
        <v>7384.2592592592591</v>
      </c>
      <c r="P70" t="str">
        <f t="shared" si="1"/>
        <v>Premium</v>
      </c>
    </row>
    <row r="71" spans="1:16">
      <c r="A71" t="s">
        <v>83</v>
      </c>
      <c r="B71" t="s">
        <v>1014</v>
      </c>
      <c r="C71">
        <v>1469</v>
      </c>
      <c r="D71">
        <v>4</v>
      </c>
      <c r="E71">
        <v>4</v>
      </c>
      <c r="F71">
        <v>26</v>
      </c>
      <c r="G71" t="s">
        <v>1022</v>
      </c>
      <c r="H71" t="s">
        <v>1022</v>
      </c>
      <c r="I71" t="s">
        <v>1023</v>
      </c>
      <c r="J71" t="s">
        <v>1022</v>
      </c>
      <c r="K71" t="s">
        <v>1025</v>
      </c>
      <c r="L71">
        <v>7</v>
      </c>
      <c r="M71">
        <v>12</v>
      </c>
      <c r="N71">
        <v>6950000</v>
      </c>
      <c r="O71">
        <f>PropertyData[[#This Row],[Price]]/PropertyData[[#This Row],[Area_sqft]]</f>
        <v>4731.1095983662353</v>
      </c>
      <c r="P71" t="str">
        <f t="shared" si="1"/>
        <v>Mid-Range</v>
      </c>
    </row>
    <row r="72" spans="1:16">
      <c r="A72" t="s">
        <v>84</v>
      </c>
      <c r="B72" t="s">
        <v>1017</v>
      </c>
      <c r="C72">
        <v>866</v>
      </c>
      <c r="D72">
        <v>2</v>
      </c>
      <c r="E72">
        <v>2</v>
      </c>
      <c r="F72">
        <v>19</v>
      </c>
      <c r="G72" t="s">
        <v>1022</v>
      </c>
      <c r="H72" t="s">
        <v>1023</v>
      </c>
      <c r="I72" t="s">
        <v>1023</v>
      </c>
      <c r="J72" t="s">
        <v>1022</v>
      </c>
      <c r="K72" t="s">
        <v>1026</v>
      </c>
      <c r="L72">
        <v>8</v>
      </c>
      <c r="M72">
        <v>24</v>
      </c>
      <c r="N72">
        <v>4050000</v>
      </c>
      <c r="O72">
        <f>PropertyData[[#This Row],[Price]]/PropertyData[[#This Row],[Area_sqft]]</f>
        <v>4676.6743648960737</v>
      </c>
      <c r="P72" t="str">
        <f t="shared" si="1"/>
        <v>Budget</v>
      </c>
    </row>
    <row r="73" spans="1:16">
      <c r="A73" t="s">
        <v>85</v>
      </c>
      <c r="B73" t="s">
        <v>1014</v>
      </c>
      <c r="C73">
        <v>835</v>
      </c>
      <c r="D73">
        <v>1</v>
      </c>
      <c r="E73">
        <v>1</v>
      </c>
      <c r="F73">
        <v>29</v>
      </c>
      <c r="G73" t="s">
        <v>1022</v>
      </c>
      <c r="H73" t="s">
        <v>1022</v>
      </c>
      <c r="I73" t="s">
        <v>1023</v>
      </c>
      <c r="J73" t="s">
        <v>1022</v>
      </c>
      <c r="K73" t="s">
        <v>1025</v>
      </c>
      <c r="L73">
        <v>18</v>
      </c>
      <c r="M73">
        <v>18</v>
      </c>
      <c r="N73">
        <v>4900000</v>
      </c>
      <c r="O73">
        <f>PropertyData[[#This Row],[Price]]/PropertyData[[#This Row],[Area_sqft]]</f>
        <v>5868.2634730538921</v>
      </c>
      <c r="P73" t="str">
        <f t="shared" si="1"/>
        <v>Budget</v>
      </c>
    </row>
    <row r="74" spans="1:16">
      <c r="A74" t="s">
        <v>86</v>
      </c>
      <c r="B74" t="s">
        <v>1015</v>
      </c>
      <c r="C74">
        <v>1248</v>
      </c>
      <c r="D74">
        <v>3</v>
      </c>
      <c r="E74">
        <v>3</v>
      </c>
      <c r="F74">
        <v>18</v>
      </c>
      <c r="G74" t="s">
        <v>1022</v>
      </c>
      <c r="H74" t="s">
        <v>1022</v>
      </c>
      <c r="I74" t="s">
        <v>1023</v>
      </c>
      <c r="J74" t="s">
        <v>1023</v>
      </c>
      <c r="K74" t="s">
        <v>1024</v>
      </c>
      <c r="L74">
        <v>10</v>
      </c>
      <c r="M74">
        <v>19</v>
      </c>
      <c r="N74">
        <v>3200000</v>
      </c>
      <c r="O74">
        <f>PropertyData[[#This Row],[Price]]/PropertyData[[#This Row],[Area_sqft]]</f>
        <v>2564.102564102564</v>
      </c>
      <c r="P74" t="str">
        <f t="shared" si="1"/>
        <v>Budget</v>
      </c>
    </row>
    <row r="75" spans="1:16">
      <c r="A75" t="s">
        <v>87</v>
      </c>
      <c r="B75" t="s">
        <v>1021</v>
      </c>
      <c r="C75">
        <v>1269</v>
      </c>
      <c r="D75">
        <v>2</v>
      </c>
      <c r="E75">
        <v>2</v>
      </c>
      <c r="F75">
        <v>2</v>
      </c>
      <c r="G75" t="s">
        <v>1022</v>
      </c>
      <c r="H75" t="s">
        <v>1023</v>
      </c>
      <c r="I75" t="s">
        <v>1022</v>
      </c>
      <c r="J75" t="s">
        <v>1022</v>
      </c>
      <c r="K75" t="s">
        <v>1024</v>
      </c>
      <c r="L75">
        <v>15</v>
      </c>
      <c r="M75">
        <v>19</v>
      </c>
      <c r="N75">
        <v>7900000</v>
      </c>
      <c r="O75">
        <f>PropertyData[[#This Row],[Price]]/PropertyData[[#This Row],[Area_sqft]]</f>
        <v>6225.3743104806936</v>
      </c>
      <c r="P75" t="str">
        <f t="shared" si="1"/>
        <v>Mid-Range</v>
      </c>
    </row>
    <row r="76" spans="1:16">
      <c r="A76" t="s">
        <v>88</v>
      </c>
      <c r="B76" t="s">
        <v>1021</v>
      </c>
      <c r="C76">
        <v>1574</v>
      </c>
      <c r="D76">
        <v>3</v>
      </c>
      <c r="E76">
        <v>3</v>
      </c>
      <c r="F76">
        <v>15</v>
      </c>
      <c r="G76" t="s">
        <v>1022</v>
      </c>
      <c r="H76" t="s">
        <v>1023</v>
      </c>
      <c r="I76" t="s">
        <v>1022</v>
      </c>
      <c r="J76" t="s">
        <v>1022</v>
      </c>
      <c r="K76" t="s">
        <v>1026</v>
      </c>
      <c r="L76">
        <v>16</v>
      </c>
      <c r="M76">
        <v>17</v>
      </c>
      <c r="N76">
        <v>13250000</v>
      </c>
      <c r="O76">
        <f>PropertyData[[#This Row],[Price]]/PropertyData[[#This Row],[Area_sqft]]</f>
        <v>8418.0432020330372</v>
      </c>
      <c r="P76" t="str">
        <f t="shared" si="1"/>
        <v>Premium</v>
      </c>
    </row>
    <row r="77" spans="1:16">
      <c r="A77" t="s">
        <v>89</v>
      </c>
      <c r="B77" t="s">
        <v>1014</v>
      </c>
      <c r="C77">
        <v>1049</v>
      </c>
      <c r="D77">
        <v>3</v>
      </c>
      <c r="E77">
        <v>4</v>
      </c>
      <c r="F77">
        <v>1</v>
      </c>
      <c r="G77" t="s">
        <v>1023</v>
      </c>
      <c r="H77" t="s">
        <v>1023</v>
      </c>
      <c r="I77" t="s">
        <v>1023</v>
      </c>
      <c r="J77" t="s">
        <v>1023</v>
      </c>
      <c r="K77" t="s">
        <v>1024</v>
      </c>
      <c r="L77">
        <v>3</v>
      </c>
      <c r="M77">
        <v>14</v>
      </c>
      <c r="N77">
        <v>9300000</v>
      </c>
      <c r="O77">
        <f>PropertyData[[#This Row],[Price]]/PropertyData[[#This Row],[Area_sqft]]</f>
        <v>8865.5862726406103</v>
      </c>
      <c r="P77" t="str">
        <f t="shared" si="1"/>
        <v>Mid-Range</v>
      </c>
    </row>
    <row r="78" spans="1:16">
      <c r="A78" t="s">
        <v>90</v>
      </c>
      <c r="B78" t="s">
        <v>1016</v>
      </c>
      <c r="C78">
        <v>734</v>
      </c>
      <c r="D78">
        <v>2</v>
      </c>
      <c r="E78">
        <v>1</v>
      </c>
      <c r="F78">
        <v>19</v>
      </c>
      <c r="G78" t="s">
        <v>1023</v>
      </c>
      <c r="H78" t="s">
        <v>1023</v>
      </c>
      <c r="I78" t="s">
        <v>1022</v>
      </c>
      <c r="J78" t="s">
        <v>1022</v>
      </c>
      <c r="K78" t="s">
        <v>1024</v>
      </c>
      <c r="L78">
        <v>14</v>
      </c>
      <c r="M78">
        <v>20</v>
      </c>
      <c r="N78">
        <v>3400000</v>
      </c>
      <c r="O78">
        <f>PropertyData[[#This Row],[Price]]/PropertyData[[#This Row],[Area_sqft]]</f>
        <v>4632.1525885558585</v>
      </c>
      <c r="P78" t="str">
        <f t="shared" si="1"/>
        <v>Budget</v>
      </c>
    </row>
    <row r="79" spans="1:16">
      <c r="A79" t="s">
        <v>91</v>
      </c>
      <c r="B79" t="s">
        <v>1018</v>
      </c>
      <c r="C79">
        <v>1405</v>
      </c>
      <c r="D79">
        <v>3</v>
      </c>
      <c r="E79">
        <v>2</v>
      </c>
      <c r="F79">
        <v>12</v>
      </c>
      <c r="G79" t="s">
        <v>1022</v>
      </c>
      <c r="H79" t="s">
        <v>1022</v>
      </c>
      <c r="I79" t="s">
        <v>1023</v>
      </c>
      <c r="J79" t="s">
        <v>1022</v>
      </c>
      <c r="K79" t="s">
        <v>1025</v>
      </c>
      <c r="L79">
        <v>13</v>
      </c>
      <c r="M79">
        <v>14</v>
      </c>
      <c r="N79">
        <v>6250000</v>
      </c>
      <c r="O79">
        <f>PropertyData[[#This Row],[Price]]/PropertyData[[#This Row],[Area_sqft]]</f>
        <v>4448.3985765124553</v>
      </c>
      <c r="P79" t="str">
        <f t="shared" si="1"/>
        <v>Mid-Range</v>
      </c>
    </row>
    <row r="80" spans="1:16">
      <c r="A80" t="s">
        <v>92</v>
      </c>
      <c r="B80" t="s">
        <v>1014</v>
      </c>
      <c r="C80">
        <v>1748</v>
      </c>
      <c r="D80">
        <v>4</v>
      </c>
      <c r="E80">
        <v>5</v>
      </c>
      <c r="F80">
        <v>1</v>
      </c>
      <c r="G80" t="s">
        <v>1022</v>
      </c>
      <c r="H80" t="s">
        <v>1023</v>
      </c>
      <c r="I80" t="s">
        <v>1023</v>
      </c>
      <c r="J80" t="s">
        <v>1022</v>
      </c>
      <c r="K80" t="s">
        <v>1024</v>
      </c>
      <c r="L80">
        <v>10</v>
      </c>
      <c r="M80">
        <v>15</v>
      </c>
      <c r="N80">
        <v>15950000</v>
      </c>
      <c r="O80">
        <f>PropertyData[[#This Row],[Price]]/PropertyData[[#This Row],[Area_sqft]]</f>
        <v>9124.713958810069</v>
      </c>
      <c r="P80" t="str">
        <f t="shared" si="1"/>
        <v>Premium</v>
      </c>
    </row>
    <row r="81" spans="1:16">
      <c r="A81" t="s">
        <v>93</v>
      </c>
      <c r="B81" t="s">
        <v>1017</v>
      </c>
      <c r="C81">
        <v>1341</v>
      </c>
      <c r="D81">
        <v>2</v>
      </c>
      <c r="E81">
        <v>2</v>
      </c>
      <c r="F81">
        <v>24</v>
      </c>
      <c r="G81" t="s">
        <v>1022</v>
      </c>
      <c r="H81" t="s">
        <v>1023</v>
      </c>
      <c r="I81" t="s">
        <v>1023</v>
      </c>
      <c r="J81" t="s">
        <v>1022</v>
      </c>
      <c r="K81" t="s">
        <v>1025</v>
      </c>
      <c r="L81">
        <v>14</v>
      </c>
      <c r="M81">
        <v>15</v>
      </c>
      <c r="N81">
        <v>4750000</v>
      </c>
      <c r="O81">
        <f>PropertyData[[#This Row],[Price]]/PropertyData[[#This Row],[Area_sqft]]</f>
        <v>3542.132736763609</v>
      </c>
      <c r="P81" t="str">
        <f t="shared" si="1"/>
        <v>Budget</v>
      </c>
    </row>
    <row r="82" spans="1:16">
      <c r="A82" t="s">
        <v>94</v>
      </c>
      <c r="B82" t="s">
        <v>1016</v>
      </c>
      <c r="C82">
        <v>791</v>
      </c>
      <c r="D82">
        <v>2</v>
      </c>
      <c r="E82">
        <v>3</v>
      </c>
      <c r="F82">
        <v>20</v>
      </c>
      <c r="G82" t="s">
        <v>1023</v>
      </c>
      <c r="H82" t="s">
        <v>1022</v>
      </c>
      <c r="I82" t="s">
        <v>1023</v>
      </c>
      <c r="J82" t="s">
        <v>1022</v>
      </c>
      <c r="K82" t="s">
        <v>1026</v>
      </c>
      <c r="L82">
        <v>8</v>
      </c>
      <c r="M82">
        <v>10</v>
      </c>
      <c r="N82">
        <v>4650000</v>
      </c>
      <c r="O82">
        <f>PropertyData[[#This Row],[Price]]/PropertyData[[#This Row],[Area_sqft]]</f>
        <v>5878.6346396965864</v>
      </c>
      <c r="P82" t="str">
        <f t="shared" si="1"/>
        <v>Budget</v>
      </c>
    </row>
    <row r="83" spans="1:16">
      <c r="A83" t="s">
        <v>95</v>
      </c>
      <c r="B83" t="s">
        <v>1015</v>
      </c>
      <c r="C83">
        <v>1034</v>
      </c>
      <c r="D83">
        <v>3</v>
      </c>
      <c r="E83">
        <v>4</v>
      </c>
      <c r="F83">
        <v>14</v>
      </c>
      <c r="G83" t="s">
        <v>1022</v>
      </c>
      <c r="H83" t="s">
        <v>1023</v>
      </c>
      <c r="I83" t="s">
        <v>1022</v>
      </c>
      <c r="J83" t="s">
        <v>1022</v>
      </c>
      <c r="K83" t="s">
        <v>1025</v>
      </c>
      <c r="L83">
        <v>13</v>
      </c>
      <c r="M83">
        <v>23</v>
      </c>
      <c r="N83">
        <v>3700000</v>
      </c>
      <c r="O83">
        <f>PropertyData[[#This Row],[Price]]/PropertyData[[#This Row],[Area_sqft]]</f>
        <v>3578.3365570599613</v>
      </c>
      <c r="P83" t="str">
        <f t="shared" si="1"/>
        <v>Budget</v>
      </c>
    </row>
    <row r="84" spans="1:16">
      <c r="A84" t="s">
        <v>96</v>
      </c>
      <c r="B84" t="s">
        <v>1019</v>
      </c>
      <c r="C84">
        <v>1382</v>
      </c>
      <c r="D84">
        <v>3</v>
      </c>
      <c r="E84">
        <v>2</v>
      </c>
      <c r="F84">
        <v>24</v>
      </c>
      <c r="G84" t="s">
        <v>1022</v>
      </c>
      <c r="H84" t="s">
        <v>1023</v>
      </c>
      <c r="I84" t="s">
        <v>1023</v>
      </c>
      <c r="J84" t="s">
        <v>1022</v>
      </c>
      <c r="K84" t="s">
        <v>1024</v>
      </c>
      <c r="L84">
        <v>18</v>
      </c>
      <c r="M84">
        <v>22</v>
      </c>
      <c r="N84">
        <v>10200000</v>
      </c>
      <c r="O84">
        <f>PropertyData[[#This Row],[Price]]/PropertyData[[#This Row],[Area_sqft]]</f>
        <v>7380.6078147612152</v>
      </c>
      <c r="P84" t="str">
        <f t="shared" si="1"/>
        <v>Premium</v>
      </c>
    </row>
    <row r="85" spans="1:16">
      <c r="A85" t="s">
        <v>97</v>
      </c>
      <c r="B85" t="s">
        <v>1016</v>
      </c>
      <c r="C85">
        <v>994</v>
      </c>
      <c r="D85">
        <v>2</v>
      </c>
      <c r="E85">
        <v>2</v>
      </c>
      <c r="F85">
        <v>26</v>
      </c>
      <c r="G85" t="s">
        <v>1023</v>
      </c>
      <c r="H85" t="s">
        <v>1022</v>
      </c>
      <c r="I85" t="s">
        <v>1023</v>
      </c>
      <c r="J85" t="s">
        <v>1022</v>
      </c>
      <c r="K85" t="s">
        <v>1024</v>
      </c>
      <c r="L85">
        <v>15</v>
      </c>
      <c r="M85">
        <v>22</v>
      </c>
      <c r="N85">
        <v>4150000</v>
      </c>
      <c r="O85">
        <f>PropertyData[[#This Row],[Price]]/PropertyData[[#This Row],[Area_sqft]]</f>
        <v>4175.0503018108648</v>
      </c>
      <c r="P85" t="str">
        <f t="shared" si="1"/>
        <v>Budget</v>
      </c>
    </row>
    <row r="86" spans="1:16">
      <c r="A86" t="s">
        <v>98</v>
      </c>
      <c r="B86" t="s">
        <v>1021</v>
      </c>
      <c r="C86">
        <v>1500</v>
      </c>
      <c r="D86">
        <v>3</v>
      </c>
      <c r="E86">
        <v>4</v>
      </c>
      <c r="F86">
        <v>24</v>
      </c>
      <c r="G86" t="s">
        <v>1023</v>
      </c>
      <c r="H86" t="s">
        <v>1023</v>
      </c>
      <c r="I86" t="s">
        <v>1023</v>
      </c>
      <c r="J86" t="s">
        <v>1022</v>
      </c>
      <c r="K86" t="s">
        <v>1024</v>
      </c>
      <c r="L86">
        <v>15</v>
      </c>
      <c r="M86">
        <v>24</v>
      </c>
      <c r="N86">
        <v>8650000</v>
      </c>
      <c r="O86">
        <f>PropertyData[[#This Row],[Price]]/PropertyData[[#This Row],[Area_sqft]]</f>
        <v>5766.666666666667</v>
      </c>
      <c r="P86" t="str">
        <f t="shared" si="1"/>
        <v>Mid-Range</v>
      </c>
    </row>
    <row r="87" spans="1:16">
      <c r="A87" t="s">
        <v>99</v>
      </c>
      <c r="B87" t="s">
        <v>1018</v>
      </c>
      <c r="C87">
        <v>698</v>
      </c>
      <c r="D87">
        <v>2</v>
      </c>
      <c r="E87">
        <v>3</v>
      </c>
      <c r="F87">
        <v>14</v>
      </c>
      <c r="G87" t="s">
        <v>1022</v>
      </c>
      <c r="H87" t="s">
        <v>1022</v>
      </c>
      <c r="I87" t="s">
        <v>1023</v>
      </c>
      <c r="J87" t="s">
        <v>1023</v>
      </c>
      <c r="K87" t="s">
        <v>1026</v>
      </c>
      <c r="L87">
        <v>18</v>
      </c>
      <c r="M87">
        <v>24</v>
      </c>
      <c r="N87">
        <v>4550000</v>
      </c>
      <c r="O87">
        <f>PropertyData[[#This Row],[Price]]/PropertyData[[#This Row],[Area_sqft]]</f>
        <v>6518.6246418338105</v>
      </c>
      <c r="P87" t="str">
        <f t="shared" si="1"/>
        <v>Budget</v>
      </c>
    </row>
    <row r="88" spans="1:16">
      <c r="A88" t="s">
        <v>100</v>
      </c>
      <c r="B88" t="s">
        <v>1015</v>
      </c>
      <c r="C88">
        <v>1097</v>
      </c>
      <c r="D88">
        <v>3</v>
      </c>
      <c r="E88">
        <v>3</v>
      </c>
      <c r="F88">
        <v>27</v>
      </c>
      <c r="G88" t="s">
        <v>1022</v>
      </c>
      <c r="H88" t="s">
        <v>1023</v>
      </c>
      <c r="I88" t="s">
        <v>1023</v>
      </c>
      <c r="J88" t="s">
        <v>1022</v>
      </c>
      <c r="K88" t="s">
        <v>1025</v>
      </c>
      <c r="L88">
        <v>12</v>
      </c>
      <c r="M88">
        <v>18</v>
      </c>
      <c r="N88">
        <v>3200000</v>
      </c>
      <c r="O88">
        <f>PropertyData[[#This Row],[Price]]/PropertyData[[#This Row],[Area_sqft]]</f>
        <v>2917.0464904284413</v>
      </c>
      <c r="P88" t="str">
        <f t="shared" si="1"/>
        <v>Budget</v>
      </c>
    </row>
    <row r="89" spans="1:16">
      <c r="A89" t="s">
        <v>101</v>
      </c>
      <c r="B89" t="s">
        <v>1014</v>
      </c>
      <c r="C89">
        <v>1376</v>
      </c>
      <c r="D89">
        <v>3</v>
      </c>
      <c r="E89">
        <v>2</v>
      </c>
      <c r="F89">
        <v>12</v>
      </c>
      <c r="G89" t="s">
        <v>1022</v>
      </c>
      <c r="H89" t="s">
        <v>1022</v>
      </c>
      <c r="I89" t="s">
        <v>1022</v>
      </c>
      <c r="J89" t="s">
        <v>1023</v>
      </c>
      <c r="K89" t="s">
        <v>1024</v>
      </c>
      <c r="L89">
        <v>13</v>
      </c>
      <c r="M89">
        <v>14</v>
      </c>
      <c r="N89">
        <v>12650000</v>
      </c>
      <c r="O89">
        <f>PropertyData[[#This Row],[Price]]/PropertyData[[#This Row],[Area_sqft]]</f>
        <v>9193.3139534883721</v>
      </c>
      <c r="P89" t="str">
        <f t="shared" si="1"/>
        <v>Premium</v>
      </c>
    </row>
    <row r="90" spans="1:16">
      <c r="A90" t="s">
        <v>102</v>
      </c>
      <c r="B90" t="s">
        <v>1018</v>
      </c>
      <c r="C90">
        <v>795</v>
      </c>
      <c r="D90">
        <v>1</v>
      </c>
      <c r="E90">
        <v>1</v>
      </c>
      <c r="F90">
        <v>15</v>
      </c>
      <c r="G90" t="s">
        <v>1023</v>
      </c>
      <c r="H90" t="s">
        <v>1023</v>
      </c>
      <c r="I90" t="s">
        <v>1023</v>
      </c>
      <c r="J90" t="s">
        <v>1022</v>
      </c>
      <c r="K90" t="s">
        <v>1026</v>
      </c>
      <c r="L90">
        <v>7</v>
      </c>
      <c r="M90">
        <v>11</v>
      </c>
      <c r="N90">
        <v>4650000</v>
      </c>
      <c r="O90">
        <f>PropertyData[[#This Row],[Price]]/PropertyData[[#This Row],[Area_sqft]]</f>
        <v>5849.0566037735853</v>
      </c>
      <c r="P90" t="str">
        <f t="shared" si="1"/>
        <v>Budget</v>
      </c>
    </row>
    <row r="91" spans="1:16">
      <c r="A91" t="s">
        <v>103</v>
      </c>
      <c r="B91" t="s">
        <v>1020</v>
      </c>
      <c r="C91">
        <v>869</v>
      </c>
      <c r="D91">
        <v>2</v>
      </c>
      <c r="E91">
        <v>2</v>
      </c>
      <c r="F91">
        <v>24</v>
      </c>
      <c r="G91" t="s">
        <v>1022</v>
      </c>
      <c r="H91" t="s">
        <v>1023</v>
      </c>
      <c r="I91" t="s">
        <v>1022</v>
      </c>
      <c r="J91" t="s">
        <v>1022</v>
      </c>
      <c r="K91" t="s">
        <v>1025</v>
      </c>
      <c r="L91">
        <v>4</v>
      </c>
      <c r="M91">
        <v>15</v>
      </c>
      <c r="N91">
        <v>4850000</v>
      </c>
      <c r="O91">
        <f>PropertyData[[#This Row],[Price]]/PropertyData[[#This Row],[Area_sqft]]</f>
        <v>5581.1277330264675</v>
      </c>
      <c r="P91" t="str">
        <f t="shared" si="1"/>
        <v>Budget</v>
      </c>
    </row>
    <row r="92" spans="1:16">
      <c r="A92" t="s">
        <v>104</v>
      </c>
      <c r="B92" t="s">
        <v>1021</v>
      </c>
      <c r="C92">
        <v>1399</v>
      </c>
      <c r="D92">
        <v>3</v>
      </c>
      <c r="E92">
        <v>3</v>
      </c>
      <c r="F92">
        <v>30</v>
      </c>
      <c r="G92" t="s">
        <v>1023</v>
      </c>
      <c r="H92" t="s">
        <v>1022</v>
      </c>
      <c r="I92" t="s">
        <v>1023</v>
      </c>
      <c r="J92" t="s">
        <v>1022</v>
      </c>
      <c r="K92" t="s">
        <v>1026</v>
      </c>
      <c r="L92">
        <v>20</v>
      </c>
      <c r="M92">
        <v>23</v>
      </c>
      <c r="N92">
        <v>9300000</v>
      </c>
      <c r="O92">
        <f>PropertyData[[#This Row],[Price]]/PropertyData[[#This Row],[Area_sqft]]</f>
        <v>6647.6054324517509</v>
      </c>
      <c r="P92" t="str">
        <f t="shared" si="1"/>
        <v>Mid-Range</v>
      </c>
    </row>
    <row r="93" spans="1:16">
      <c r="A93" t="s">
        <v>105</v>
      </c>
      <c r="B93" t="s">
        <v>1021</v>
      </c>
      <c r="C93">
        <v>1726</v>
      </c>
      <c r="D93">
        <v>4</v>
      </c>
      <c r="E93">
        <v>5</v>
      </c>
      <c r="F93">
        <v>8</v>
      </c>
      <c r="G93" t="s">
        <v>1022</v>
      </c>
      <c r="H93" t="s">
        <v>1023</v>
      </c>
      <c r="I93" t="s">
        <v>1023</v>
      </c>
      <c r="J93" t="s">
        <v>1022</v>
      </c>
      <c r="K93" t="s">
        <v>1025</v>
      </c>
      <c r="L93">
        <v>15</v>
      </c>
      <c r="M93">
        <v>21</v>
      </c>
      <c r="N93">
        <v>9900000</v>
      </c>
      <c r="O93">
        <f>PropertyData[[#This Row],[Price]]/PropertyData[[#This Row],[Area_sqft]]</f>
        <v>5735.8053302433373</v>
      </c>
      <c r="P93" t="str">
        <f t="shared" si="1"/>
        <v>Mid-Range</v>
      </c>
    </row>
    <row r="94" spans="1:16">
      <c r="A94" t="s">
        <v>106</v>
      </c>
      <c r="B94" t="s">
        <v>1020</v>
      </c>
      <c r="C94">
        <v>1282</v>
      </c>
      <c r="D94">
        <v>3</v>
      </c>
      <c r="E94">
        <v>2</v>
      </c>
      <c r="F94">
        <v>17</v>
      </c>
      <c r="G94" t="s">
        <v>1022</v>
      </c>
      <c r="H94" t="s">
        <v>1023</v>
      </c>
      <c r="I94" t="s">
        <v>1023</v>
      </c>
      <c r="J94" t="s">
        <v>1022</v>
      </c>
      <c r="K94" t="s">
        <v>1025</v>
      </c>
      <c r="L94">
        <v>13</v>
      </c>
      <c r="M94">
        <v>20</v>
      </c>
      <c r="N94">
        <v>6950000</v>
      </c>
      <c r="O94">
        <f>PropertyData[[#This Row],[Price]]/PropertyData[[#This Row],[Area_sqft]]</f>
        <v>5421.2168486739465</v>
      </c>
      <c r="P94" t="str">
        <f t="shared" si="1"/>
        <v>Mid-Range</v>
      </c>
    </row>
    <row r="95" spans="1:16">
      <c r="A95" t="s">
        <v>107</v>
      </c>
      <c r="B95" t="s">
        <v>1017</v>
      </c>
      <c r="C95">
        <v>1239</v>
      </c>
      <c r="D95">
        <v>3</v>
      </c>
      <c r="E95">
        <v>4</v>
      </c>
      <c r="F95">
        <v>8</v>
      </c>
      <c r="G95" t="s">
        <v>1022</v>
      </c>
      <c r="H95" t="s">
        <v>1023</v>
      </c>
      <c r="I95" t="s">
        <v>1022</v>
      </c>
      <c r="J95" t="s">
        <v>1022</v>
      </c>
      <c r="K95" t="s">
        <v>1025</v>
      </c>
      <c r="L95">
        <v>5</v>
      </c>
      <c r="M95">
        <v>15</v>
      </c>
      <c r="N95">
        <v>4900000</v>
      </c>
      <c r="O95">
        <f>PropertyData[[#This Row],[Price]]/PropertyData[[#This Row],[Area_sqft]]</f>
        <v>3954.8022598870057</v>
      </c>
      <c r="P95" t="str">
        <f t="shared" si="1"/>
        <v>Budget</v>
      </c>
    </row>
    <row r="96" spans="1:16">
      <c r="A96" t="s">
        <v>108</v>
      </c>
      <c r="B96" t="s">
        <v>1021</v>
      </c>
      <c r="C96">
        <v>1044</v>
      </c>
      <c r="D96">
        <v>2</v>
      </c>
      <c r="E96">
        <v>2</v>
      </c>
      <c r="F96">
        <v>5</v>
      </c>
      <c r="G96" t="s">
        <v>1023</v>
      </c>
      <c r="H96" t="s">
        <v>1022</v>
      </c>
      <c r="I96" t="s">
        <v>1023</v>
      </c>
      <c r="J96" t="s">
        <v>1023</v>
      </c>
      <c r="K96" t="s">
        <v>1025</v>
      </c>
      <c r="L96">
        <v>18</v>
      </c>
      <c r="M96">
        <v>22</v>
      </c>
      <c r="N96">
        <v>7200000</v>
      </c>
      <c r="O96">
        <f>PropertyData[[#This Row],[Price]]/PropertyData[[#This Row],[Area_sqft]]</f>
        <v>6896.5517241379312</v>
      </c>
      <c r="P96" t="str">
        <f t="shared" si="1"/>
        <v>Mid-Range</v>
      </c>
    </row>
    <row r="97" spans="1:16">
      <c r="A97" t="s">
        <v>109</v>
      </c>
      <c r="B97" t="s">
        <v>1018</v>
      </c>
      <c r="C97">
        <v>1988</v>
      </c>
      <c r="D97">
        <v>4</v>
      </c>
      <c r="E97">
        <v>4</v>
      </c>
      <c r="F97">
        <v>26</v>
      </c>
      <c r="G97" t="s">
        <v>1023</v>
      </c>
      <c r="H97" t="s">
        <v>1023</v>
      </c>
      <c r="I97" t="s">
        <v>1023</v>
      </c>
      <c r="J97" t="s">
        <v>1023</v>
      </c>
      <c r="K97" t="s">
        <v>1025</v>
      </c>
      <c r="L97">
        <v>1</v>
      </c>
      <c r="M97">
        <v>17</v>
      </c>
      <c r="N97">
        <v>7150000</v>
      </c>
      <c r="O97">
        <f>PropertyData[[#This Row],[Price]]/PropertyData[[#This Row],[Area_sqft]]</f>
        <v>3596.5794768611672</v>
      </c>
      <c r="P97" t="str">
        <f t="shared" si="1"/>
        <v>Mid-Range</v>
      </c>
    </row>
    <row r="98" spans="1:16">
      <c r="A98" t="s">
        <v>110</v>
      </c>
      <c r="B98" t="s">
        <v>1020</v>
      </c>
      <c r="C98">
        <v>1231</v>
      </c>
      <c r="D98">
        <v>2</v>
      </c>
      <c r="E98">
        <v>3</v>
      </c>
      <c r="F98">
        <v>5</v>
      </c>
      <c r="G98" t="s">
        <v>1022</v>
      </c>
      <c r="H98" t="s">
        <v>1023</v>
      </c>
      <c r="I98" t="s">
        <v>1023</v>
      </c>
      <c r="J98" t="s">
        <v>1022</v>
      </c>
      <c r="K98" t="s">
        <v>1025</v>
      </c>
      <c r="L98">
        <v>10</v>
      </c>
      <c r="M98">
        <v>19</v>
      </c>
      <c r="N98">
        <v>9150000</v>
      </c>
      <c r="O98">
        <f>PropertyData[[#This Row],[Price]]/PropertyData[[#This Row],[Area_sqft]]</f>
        <v>7432.981316003249</v>
      </c>
      <c r="P98" t="str">
        <f t="shared" si="1"/>
        <v>Mid-Range</v>
      </c>
    </row>
    <row r="99" spans="1:16">
      <c r="A99" t="s">
        <v>111</v>
      </c>
      <c r="B99" t="s">
        <v>1018</v>
      </c>
      <c r="C99">
        <v>1425</v>
      </c>
      <c r="D99">
        <v>3</v>
      </c>
      <c r="E99">
        <v>3</v>
      </c>
      <c r="F99">
        <v>28</v>
      </c>
      <c r="G99" t="s">
        <v>1022</v>
      </c>
      <c r="H99" t="s">
        <v>1022</v>
      </c>
      <c r="I99" t="s">
        <v>1022</v>
      </c>
      <c r="J99" t="s">
        <v>1022</v>
      </c>
      <c r="K99" t="s">
        <v>1025</v>
      </c>
      <c r="L99">
        <v>9</v>
      </c>
      <c r="M99">
        <v>9</v>
      </c>
      <c r="N99">
        <v>7000000</v>
      </c>
      <c r="O99">
        <f>PropertyData[[#This Row],[Price]]/PropertyData[[#This Row],[Area_sqft]]</f>
        <v>4912.2807017543855</v>
      </c>
      <c r="P99" t="str">
        <f t="shared" si="1"/>
        <v>Mid-Range</v>
      </c>
    </row>
    <row r="100" spans="1:16">
      <c r="A100" t="s">
        <v>112</v>
      </c>
      <c r="B100" t="s">
        <v>1018</v>
      </c>
      <c r="C100">
        <v>1294</v>
      </c>
      <c r="D100">
        <v>3</v>
      </c>
      <c r="E100">
        <v>4</v>
      </c>
      <c r="F100">
        <v>29</v>
      </c>
      <c r="G100" t="s">
        <v>1022</v>
      </c>
      <c r="H100" t="s">
        <v>1022</v>
      </c>
      <c r="I100" t="s">
        <v>1023</v>
      </c>
      <c r="J100" t="s">
        <v>1022</v>
      </c>
      <c r="K100" t="s">
        <v>1025</v>
      </c>
      <c r="L100">
        <v>15</v>
      </c>
      <c r="M100">
        <v>19</v>
      </c>
      <c r="N100">
        <v>5750000</v>
      </c>
      <c r="O100">
        <f>PropertyData[[#This Row],[Price]]/PropertyData[[#This Row],[Area_sqft]]</f>
        <v>4443.5857805255027</v>
      </c>
      <c r="P100" t="str">
        <f t="shared" si="1"/>
        <v>Mid-Range</v>
      </c>
    </row>
    <row r="101" spans="1:16">
      <c r="A101" t="s">
        <v>113</v>
      </c>
      <c r="B101" t="s">
        <v>1017</v>
      </c>
      <c r="C101">
        <v>1016</v>
      </c>
      <c r="D101">
        <v>2</v>
      </c>
      <c r="E101">
        <v>2</v>
      </c>
      <c r="F101">
        <v>16</v>
      </c>
      <c r="G101" t="s">
        <v>1023</v>
      </c>
      <c r="H101" t="s">
        <v>1023</v>
      </c>
      <c r="I101" t="s">
        <v>1023</v>
      </c>
      <c r="J101" t="s">
        <v>1022</v>
      </c>
      <c r="K101" t="s">
        <v>1024</v>
      </c>
      <c r="L101">
        <v>18</v>
      </c>
      <c r="M101">
        <v>19</v>
      </c>
      <c r="N101">
        <v>3500000</v>
      </c>
      <c r="O101">
        <f>PropertyData[[#This Row],[Price]]/PropertyData[[#This Row],[Area_sqft]]</f>
        <v>3444.8818897637793</v>
      </c>
      <c r="P101" t="str">
        <f t="shared" si="1"/>
        <v>Budget</v>
      </c>
    </row>
    <row r="102" spans="1:16">
      <c r="A102" t="s">
        <v>114</v>
      </c>
      <c r="B102" t="s">
        <v>1015</v>
      </c>
      <c r="C102">
        <v>2348</v>
      </c>
      <c r="D102">
        <v>5</v>
      </c>
      <c r="E102">
        <v>5</v>
      </c>
      <c r="F102">
        <v>11</v>
      </c>
      <c r="G102" t="s">
        <v>1022</v>
      </c>
      <c r="H102" t="s">
        <v>1022</v>
      </c>
      <c r="I102" t="s">
        <v>1023</v>
      </c>
      <c r="J102" t="s">
        <v>1022</v>
      </c>
      <c r="K102" t="s">
        <v>1026</v>
      </c>
      <c r="L102">
        <v>19</v>
      </c>
      <c r="M102">
        <v>21</v>
      </c>
      <c r="N102">
        <v>12850000</v>
      </c>
      <c r="O102">
        <f>PropertyData[[#This Row],[Price]]/PropertyData[[#This Row],[Area_sqft]]</f>
        <v>5472.7427597955711</v>
      </c>
      <c r="P102" t="str">
        <f t="shared" si="1"/>
        <v>Premium</v>
      </c>
    </row>
    <row r="103" spans="1:16">
      <c r="A103" t="s">
        <v>115</v>
      </c>
      <c r="B103" t="s">
        <v>1019</v>
      </c>
      <c r="C103">
        <v>828</v>
      </c>
      <c r="D103">
        <v>2</v>
      </c>
      <c r="E103">
        <v>2</v>
      </c>
      <c r="F103">
        <v>22</v>
      </c>
      <c r="G103" t="s">
        <v>1023</v>
      </c>
      <c r="H103" t="s">
        <v>1022</v>
      </c>
      <c r="I103" t="s">
        <v>1023</v>
      </c>
      <c r="J103" t="s">
        <v>1022</v>
      </c>
      <c r="K103" t="s">
        <v>1025</v>
      </c>
      <c r="L103">
        <v>20</v>
      </c>
      <c r="M103">
        <v>22</v>
      </c>
      <c r="N103">
        <v>5700000</v>
      </c>
      <c r="O103">
        <f>PropertyData[[#This Row],[Price]]/PropertyData[[#This Row],[Area_sqft]]</f>
        <v>6884.057971014493</v>
      </c>
      <c r="P103" t="str">
        <f t="shared" si="1"/>
        <v>Mid-Range</v>
      </c>
    </row>
    <row r="104" spans="1:16">
      <c r="A104" t="s">
        <v>116</v>
      </c>
      <c r="B104" t="s">
        <v>1021</v>
      </c>
      <c r="C104">
        <v>2227</v>
      </c>
      <c r="D104">
        <v>5</v>
      </c>
      <c r="E104">
        <v>5</v>
      </c>
      <c r="F104">
        <v>4</v>
      </c>
      <c r="G104" t="s">
        <v>1022</v>
      </c>
      <c r="H104" t="s">
        <v>1022</v>
      </c>
      <c r="I104" t="s">
        <v>1023</v>
      </c>
      <c r="J104" t="s">
        <v>1023</v>
      </c>
      <c r="K104" t="s">
        <v>1024</v>
      </c>
      <c r="L104">
        <v>1</v>
      </c>
      <c r="M104">
        <v>7</v>
      </c>
      <c r="N104">
        <v>16100000</v>
      </c>
      <c r="O104">
        <f>PropertyData[[#This Row],[Price]]/PropertyData[[#This Row],[Area_sqft]]</f>
        <v>7229.4566681634487</v>
      </c>
      <c r="P104" t="str">
        <f t="shared" si="1"/>
        <v>Premium</v>
      </c>
    </row>
    <row r="105" spans="1:16">
      <c r="A105" t="s">
        <v>117</v>
      </c>
      <c r="B105" t="s">
        <v>1014</v>
      </c>
      <c r="C105">
        <v>824</v>
      </c>
      <c r="D105">
        <v>2</v>
      </c>
      <c r="E105">
        <v>1</v>
      </c>
      <c r="F105">
        <v>14</v>
      </c>
      <c r="G105" t="s">
        <v>1022</v>
      </c>
      <c r="H105" t="s">
        <v>1022</v>
      </c>
      <c r="I105" t="s">
        <v>1022</v>
      </c>
      <c r="J105" t="s">
        <v>1022</v>
      </c>
      <c r="K105" t="s">
        <v>1024</v>
      </c>
      <c r="L105">
        <v>8</v>
      </c>
      <c r="M105">
        <v>22</v>
      </c>
      <c r="N105">
        <v>7450000</v>
      </c>
      <c r="O105">
        <f>PropertyData[[#This Row],[Price]]/PropertyData[[#This Row],[Area_sqft]]</f>
        <v>9041.2621359223303</v>
      </c>
      <c r="P105" t="str">
        <f t="shared" si="1"/>
        <v>Mid-Range</v>
      </c>
    </row>
    <row r="106" spans="1:16">
      <c r="A106" t="s">
        <v>118</v>
      </c>
      <c r="B106" t="s">
        <v>1021</v>
      </c>
      <c r="C106">
        <v>1233</v>
      </c>
      <c r="D106">
        <v>3</v>
      </c>
      <c r="E106">
        <v>3</v>
      </c>
      <c r="F106">
        <v>23</v>
      </c>
      <c r="G106" t="s">
        <v>1023</v>
      </c>
      <c r="H106" t="s">
        <v>1023</v>
      </c>
      <c r="I106" t="s">
        <v>1023</v>
      </c>
      <c r="J106" t="s">
        <v>1022</v>
      </c>
      <c r="K106" t="s">
        <v>1024</v>
      </c>
      <c r="L106">
        <v>14</v>
      </c>
      <c r="M106">
        <v>20</v>
      </c>
      <c r="N106">
        <v>7450000</v>
      </c>
      <c r="O106">
        <f>PropertyData[[#This Row],[Price]]/PropertyData[[#This Row],[Area_sqft]]</f>
        <v>6042.1735604217356</v>
      </c>
      <c r="P106" t="str">
        <f t="shared" si="1"/>
        <v>Mid-Range</v>
      </c>
    </row>
    <row r="107" spans="1:16">
      <c r="A107" t="s">
        <v>119</v>
      </c>
      <c r="B107" t="s">
        <v>1020</v>
      </c>
      <c r="C107">
        <v>1042</v>
      </c>
      <c r="D107">
        <v>2</v>
      </c>
      <c r="E107">
        <v>1</v>
      </c>
      <c r="F107">
        <v>30</v>
      </c>
      <c r="G107" t="s">
        <v>1022</v>
      </c>
      <c r="H107" t="s">
        <v>1022</v>
      </c>
      <c r="I107" t="s">
        <v>1023</v>
      </c>
      <c r="J107" t="s">
        <v>1022</v>
      </c>
      <c r="K107" t="s">
        <v>1024</v>
      </c>
      <c r="L107">
        <v>13</v>
      </c>
      <c r="M107">
        <v>13</v>
      </c>
      <c r="N107">
        <v>5650000</v>
      </c>
      <c r="O107">
        <f>PropertyData[[#This Row],[Price]]/PropertyData[[#This Row],[Area_sqft]]</f>
        <v>5422.2648752399236</v>
      </c>
      <c r="P107" t="str">
        <f t="shared" si="1"/>
        <v>Mid-Range</v>
      </c>
    </row>
    <row r="108" spans="1:16">
      <c r="A108" t="s">
        <v>120</v>
      </c>
      <c r="B108" t="s">
        <v>1018</v>
      </c>
      <c r="C108">
        <v>1795</v>
      </c>
      <c r="D108">
        <v>3</v>
      </c>
      <c r="E108">
        <v>3</v>
      </c>
      <c r="F108">
        <v>10</v>
      </c>
      <c r="G108" t="s">
        <v>1022</v>
      </c>
      <c r="H108" t="s">
        <v>1023</v>
      </c>
      <c r="I108" t="s">
        <v>1023</v>
      </c>
      <c r="J108" t="s">
        <v>1022</v>
      </c>
      <c r="K108" t="s">
        <v>1025</v>
      </c>
      <c r="L108">
        <v>19</v>
      </c>
      <c r="M108">
        <v>19</v>
      </c>
      <c r="N108">
        <v>8550000</v>
      </c>
      <c r="O108">
        <f>PropertyData[[#This Row],[Price]]/PropertyData[[#This Row],[Area_sqft]]</f>
        <v>4763.2311977715881</v>
      </c>
      <c r="P108" t="str">
        <f t="shared" si="1"/>
        <v>Mid-Range</v>
      </c>
    </row>
    <row r="109" spans="1:16">
      <c r="A109" t="s">
        <v>121</v>
      </c>
      <c r="B109" t="s">
        <v>1020</v>
      </c>
      <c r="C109">
        <v>1444</v>
      </c>
      <c r="D109">
        <v>3</v>
      </c>
      <c r="E109">
        <v>3</v>
      </c>
      <c r="F109">
        <v>17</v>
      </c>
      <c r="G109" t="s">
        <v>1022</v>
      </c>
      <c r="H109" t="s">
        <v>1022</v>
      </c>
      <c r="I109" t="s">
        <v>1022</v>
      </c>
      <c r="J109" t="s">
        <v>1022</v>
      </c>
      <c r="K109" t="s">
        <v>1025</v>
      </c>
      <c r="L109">
        <v>1</v>
      </c>
      <c r="M109">
        <v>14</v>
      </c>
      <c r="N109">
        <v>10900000</v>
      </c>
      <c r="O109">
        <f>PropertyData[[#This Row],[Price]]/PropertyData[[#This Row],[Area_sqft]]</f>
        <v>7548.4764542936291</v>
      </c>
      <c r="P109" t="str">
        <f t="shared" si="1"/>
        <v>Premium</v>
      </c>
    </row>
    <row r="110" spans="1:16">
      <c r="A110" t="s">
        <v>122</v>
      </c>
      <c r="B110" t="s">
        <v>1016</v>
      </c>
      <c r="C110">
        <v>1227</v>
      </c>
      <c r="D110">
        <v>2</v>
      </c>
      <c r="E110">
        <v>2</v>
      </c>
      <c r="F110">
        <v>1</v>
      </c>
      <c r="G110" t="s">
        <v>1022</v>
      </c>
      <c r="H110" t="s">
        <v>1023</v>
      </c>
      <c r="I110" t="s">
        <v>1023</v>
      </c>
      <c r="J110" t="s">
        <v>1022</v>
      </c>
      <c r="K110" t="s">
        <v>1025</v>
      </c>
      <c r="L110">
        <v>6</v>
      </c>
      <c r="M110">
        <v>14</v>
      </c>
      <c r="N110">
        <v>6250000</v>
      </c>
      <c r="O110">
        <f>PropertyData[[#This Row],[Price]]/PropertyData[[#This Row],[Area_sqft]]</f>
        <v>5093.7245313773428</v>
      </c>
      <c r="P110" t="str">
        <f t="shared" si="1"/>
        <v>Mid-Range</v>
      </c>
    </row>
    <row r="111" spans="1:16">
      <c r="A111" t="s">
        <v>123</v>
      </c>
      <c r="B111" t="s">
        <v>1015</v>
      </c>
      <c r="C111">
        <v>1475</v>
      </c>
      <c r="D111">
        <v>3</v>
      </c>
      <c r="E111">
        <v>2</v>
      </c>
      <c r="F111">
        <v>17</v>
      </c>
      <c r="G111" t="s">
        <v>1022</v>
      </c>
      <c r="H111" t="s">
        <v>1023</v>
      </c>
      <c r="I111" t="s">
        <v>1023</v>
      </c>
      <c r="J111" t="s">
        <v>1022</v>
      </c>
      <c r="K111" t="s">
        <v>1024</v>
      </c>
      <c r="L111">
        <v>11</v>
      </c>
      <c r="M111">
        <v>14</v>
      </c>
      <c r="N111">
        <v>5300000</v>
      </c>
      <c r="O111">
        <f>PropertyData[[#This Row],[Price]]/PropertyData[[#This Row],[Area_sqft]]</f>
        <v>3593.2203389830506</v>
      </c>
      <c r="P111" t="str">
        <f t="shared" si="1"/>
        <v>Mid-Range</v>
      </c>
    </row>
    <row r="112" spans="1:16">
      <c r="A112" t="s">
        <v>124</v>
      </c>
      <c r="B112" t="s">
        <v>1018</v>
      </c>
      <c r="C112">
        <v>1645</v>
      </c>
      <c r="D112">
        <v>4</v>
      </c>
      <c r="E112">
        <v>4</v>
      </c>
      <c r="F112">
        <v>27</v>
      </c>
      <c r="G112" t="s">
        <v>1022</v>
      </c>
      <c r="H112" t="s">
        <v>1022</v>
      </c>
      <c r="I112" t="s">
        <v>1022</v>
      </c>
      <c r="J112" t="s">
        <v>1022</v>
      </c>
      <c r="K112" t="s">
        <v>1025</v>
      </c>
      <c r="L112">
        <v>13</v>
      </c>
      <c r="M112">
        <v>21</v>
      </c>
      <c r="N112">
        <v>7900000</v>
      </c>
      <c r="O112">
        <f>PropertyData[[#This Row],[Price]]/PropertyData[[#This Row],[Area_sqft]]</f>
        <v>4802.4316109422489</v>
      </c>
      <c r="P112" t="str">
        <f t="shared" si="1"/>
        <v>Mid-Range</v>
      </c>
    </row>
    <row r="113" spans="1:16">
      <c r="A113" t="s">
        <v>125</v>
      </c>
      <c r="B113" t="s">
        <v>1017</v>
      </c>
      <c r="C113">
        <v>1152</v>
      </c>
      <c r="D113">
        <v>2</v>
      </c>
      <c r="E113">
        <v>2</v>
      </c>
      <c r="F113">
        <v>20</v>
      </c>
      <c r="G113" t="s">
        <v>1022</v>
      </c>
      <c r="H113" t="s">
        <v>1022</v>
      </c>
      <c r="I113" t="s">
        <v>1023</v>
      </c>
      <c r="J113" t="s">
        <v>1022</v>
      </c>
      <c r="K113" t="s">
        <v>1024</v>
      </c>
      <c r="L113">
        <v>5</v>
      </c>
      <c r="M113">
        <v>13</v>
      </c>
      <c r="N113">
        <v>4700000</v>
      </c>
      <c r="O113">
        <f>PropertyData[[#This Row],[Price]]/PropertyData[[#This Row],[Area_sqft]]</f>
        <v>4079.8611111111113</v>
      </c>
      <c r="P113" t="str">
        <f t="shared" si="1"/>
        <v>Budget</v>
      </c>
    </row>
    <row r="114" spans="1:16">
      <c r="A114" t="s">
        <v>126</v>
      </c>
      <c r="B114" t="s">
        <v>1021</v>
      </c>
      <c r="C114">
        <v>975</v>
      </c>
      <c r="D114">
        <v>2</v>
      </c>
      <c r="E114">
        <v>2</v>
      </c>
      <c r="F114">
        <v>14</v>
      </c>
      <c r="G114" t="s">
        <v>1022</v>
      </c>
      <c r="H114" t="s">
        <v>1022</v>
      </c>
      <c r="I114" t="s">
        <v>1023</v>
      </c>
      <c r="J114" t="s">
        <v>1022</v>
      </c>
      <c r="K114" t="s">
        <v>1024</v>
      </c>
      <c r="L114">
        <v>20</v>
      </c>
      <c r="M114">
        <v>24</v>
      </c>
      <c r="N114">
        <v>5750000</v>
      </c>
      <c r="O114">
        <f>PropertyData[[#This Row],[Price]]/PropertyData[[#This Row],[Area_sqft]]</f>
        <v>5897.4358974358975</v>
      </c>
      <c r="P114" t="str">
        <f t="shared" si="1"/>
        <v>Mid-Range</v>
      </c>
    </row>
    <row r="115" spans="1:16">
      <c r="A115" t="s">
        <v>127</v>
      </c>
      <c r="B115" t="s">
        <v>1016</v>
      </c>
      <c r="C115">
        <v>1068</v>
      </c>
      <c r="D115">
        <v>3</v>
      </c>
      <c r="E115">
        <v>3</v>
      </c>
      <c r="F115">
        <v>20</v>
      </c>
      <c r="G115" t="s">
        <v>1022</v>
      </c>
      <c r="H115" t="s">
        <v>1023</v>
      </c>
      <c r="I115" t="s">
        <v>1023</v>
      </c>
      <c r="J115" t="s">
        <v>1022</v>
      </c>
      <c r="K115" t="s">
        <v>1024</v>
      </c>
      <c r="L115">
        <v>7</v>
      </c>
      <c r="M115">
        <v>16</v>
      </c>
      <c r="N115">
        <v>5700000</v>
      </c>
      <c r="O115">
        <f>PropertyData[[#This Row],[Price]]/PropertyData[[#This Row],[Area_sqft]]</f>
        <v>5337.0786516853932</v>
      </c>
      <c r="P115" t="str">
        <f t="shared" si="1"/>
        <v>Mid-Range</v>
      </c>
    </row>
    <row r="116" spans="1:16">
      <c r="A116" t="s">
        <v>128</v>
      </c>
      <c r="B116" t="s">
        <v>1021</v>
      </c>
      <c r="C116">
        <v>1628</v>
      </c>
      <c r="D116">
        <v>4</v>
      </c>
      <c r="E116">
        <v>4</v>
      </c>
      <c r="F116">
        <v>20</v>
      </c>
      <c r="G116" t="s">
        <v>1022</v>
      </c>
      <c r="H116" t="s">
        <v>1022</v>
      </c>
      <c r="I116" t="s">
        <v>1023</v>
      </c>
      <c r="J116" t="s">
        <v>1023</v>
      </c>
      <c r="K116" t="s">
        <v>1025</v>
      </c>
      <c r="L116">
        <v>10</v>
      </c>
      <c r="M116">
        <v>21</v>
      </c>
      <c r="N116">
        <v>7300000</v>
      </c>
      <c r="O116">
        <f>PropertyData[[#This Row],[Price]]/PropertyData[[#This Row],[Area_sqft]]</f>
        <v>4484.0294840294837</v>
      </c>
      <c r="P116" t="str">
        <f t="shared" si="1"/>
        <v>Mid-Range</v>
      </c>
    </row>
    <row r="117" spans="1:16">
      <c r="A117" t="s">
        <v>129</v>
      </c>
      <c r="B117" t="s">
        <v>1015</v>
      </c>
      <c r="C117">
        <v>1030</v>
      </c>
      <c r="D117">
        <v>2</v>
      </c>
      <c r="E117">
        <v>3</v>
      </c>
      <c r="F117">
        <v>21</v>
      </c>
      <c r="G117" t="s">
        <v>1023</v>
      </c>
      <c r="H117" t="s">
        <v>1022</v>
      </c>
      <c r="I117" t="s">
        <v>1023</v>
      </c>
      <c r="J117" t="s">
        <v>1022</v>
      </c>
      <c r="K117" t="s">
        <v>1026</v>
      </c>
      <c r="L117">
        <v>2</v>
      </c>
      <c r="M117">
        <v>8</v>
      </c>
      <c r="N117">
        <v>3950000</v>
      </c>
      <c r="O117">
        <f>PropertyData[[#This Row],[Price]]/PropertyData[[#This Row],[Area_sqft]]</f>
        <v>3834.9514563106795</v>
      </c>
      <c r="P117" t="str">
        <f t="shared" si="1"/>
        <v>Budget</v>
      </c>
    </row>
    <row r="118" spans="1:16">
      <c r="A118" t="s">
        <v>130</v>
      </c>
      <c r="B118" t="s">
        <v>1015</v>
      </c>
      <c r="C118">
        <v>1195</v>
      </c>
      <c r="D118">
        <v>2</v>
      </c>
      <c r="E118">
        <v>2</v>
      </c>
      <c r="F118">
        <v>30</v>
      </c>
      <c r="G118" t="s">
        <v>1022</v>
      </c>
      <c r="H118" t="s">
        <v>1023</v>
      </c>
      <c r="I118" t="s">
        <v>1023</v>
      </c>
      <c r="J118" t="s">
        <v>1022</v>
      </c>
      <c r="K118" t="s">
        <v>1024</v>
      </c>
      <c r="L118">
        <v>11</v>
      </c>
      <c r="M118">
        <v>20</v>
      </c>
      <c r="N118">
        <v>3300000</v>
      </c>
      <c r="O118">
        <f>PropertyData[[#This Row],[Price]]/PropertyData[[#This Row],[Area_sqft]]</f>
        <v>2761.5062761506274</v>
      </c>
      <c r="P118" t="str">
        <f t="shared" si="1"/>
        <v>Budget</v>
      </c>
    </row>
    <row r="119" spans="1:16">
      <c r="A119" t="s">
        <v>131</v>
      </c>
      <c r="B119" t="s">
        <v>1021</v>
      </c>
      <c r="C119">
        <v>1229</v>
      </c>
      <c r="D119">
        <v>2</v>
      </c>
      <c r="E119">
        <v>3</v>
      </c>
      <c r="F119">
        <v>0</v>
      </c>
      <c r="G119" t="s">
        <v>1022</v>
      </c>
      <c r="H119" t="s">
        <v>1023</v>
      </c>
      <c r="I119" t="s">
        <v>1023</v>
      </c>
      <c r="J119" t="s">
        <v>1022</v>
      </c>
      <c r="K119" t="s">
        <v>1025</v>
      </c>
      <c r="L119">
        <v>20</v>
      </c>
      <c r="M119">
        <v>23</v>
      </c>
      <c r="N119">
        <v>7550000</v>
      </c>
      <c r="O119">
        <f>PropertyData[[#This Row],[Price]]/PropertyData[[#This Row],[Area_sqft]]</f>
        <v>6143.205858421481</v>
      </c>
      <c r="P119" t="str">
        <f t="shared" si="1"/>
        <v>Mid-Range</v>
      </c>
    </row>
    <row r="120" spans="1:16">
      <c r="A120" t="s">
        <v>132</v>
      </c>
      <c r="B120" t="s">
        <v>1020</v>
      </c>
      <c r="C120">
        <v>1268</v>
      </c>
      <c r="D120">
        <v>2</v>
      </c>
      <c r="E120">
        <v>2</v>
      </c>
      <c r="F120">
        <v>11</v>
      </c>
      <c r="G120" t="s">
        <v>1022</v>
      </c>
      <c r="H120" t="s">
        <v>1023</v>
      </c>
      <c r="I120" t="s">
        <v>1023</v>
      </c>
      <c r="J120" t="s">
        <v>1022</v>
      </c>
      <c r="K120" t="s">
        <v>1024</v>
      </c>
      <c r="L120">
        <v>20</v>
      </c>
      <c r="M120">
        <v>21</v>
      </c>
      <c r="N120">
        <v>8850000</v>
      </c>
      <c r="O120">
        <f>PropertyData[[#This Row],[Price]]/PropertyData[[#This Row],[Area_sqft]]</f>
        <v>6979.4952681388013</v>
      </c>
      <c r="P120" t="str">
        <f t="shared" si="1"/>
        <v>Mid-Range</v>
      </c>
    </row>
    <row r="121" spans="1:16">
      <c r="A121" t="s">
        <v>133</v>
      </c>
      <c r="B121" t="s">
        <v>1015</v>
      </c>
      <c r="C121">
        <v>1376</v>
      </c>
      <c r="D121">
        <v>3</v>
      </c>
      <c r="E121">
        <v>3</v>
      </c>
      <c r="F121">
        <v>2</v>
      </c>
      <c r="G121" t="s">
        <v>1022</v>
      </c>
      <c r="H121" t="s">
        <v>1023</v>
      </c>
      <c r="I121" t="s">
        <v>1023</v>
      </c>
      <c r="J121" t="s">
        <v>1022</v>
      </c>
      <c r="K121" t="s">
        <v>1025</v>
      </c>
      <c r="L121">
        <v>14</v>
      </c>
      <c r="M121">
        <v>23</v>
      </c>
      <c r="N121">
        <v>4700000</v>
      </c>
      <c r="O121">
        <f>PropertyData[[#This Row],[Price]]/PropertyData[[#This Row],[Area_sqft]]</f>
        <v>3415.6976744186045</v>
      </c>
      <c r="P121" t="str">
        <f t="shared" si="1"/>
        <v>Budget</v>
      </c>
    </row>
    <row r="122" spans="1:16">
      <c r="A122" t="s">
        <v>134</v>
      </c>
      <c r="B122" t="s">
        <v>1016</v>
      </c>
      <c r="C122">
        <v>2162</v>
      </c>
      <c r="D122">
        <v>5</v>
      </c>
      <c r="E122">
        <v>5</v>
      </c>
      <c r="F122">
        <v>23</v>
      </c>
      <c r="G122" t="s">
        <v>1022</v>
      </c>
      <c r="H122" t="s">
        <v>1022</v>
      </c>
      <c r="I122" t="s">
        <v>1023</v>
      </c>
      <c r="J122" t="s">
        <v>1022</v>
      </c>
      <c r="K122" t="s">
        <v>1026</v>
      </c>
      <c r="L122">
        <v>13</v>
      </c>
      <c r="M122">
        <v>16</v>
      </c>
      <c r="N122">
        <v>12800000</v>
      </c>
      <c r="O122">
        <f>PropertyData[[#This Row],[Price]]/PropertyData[[#This Row],[Area_sqft]]</f>
        <v>5920.4440333024977</v>
      </c>
      <c r="P122" t="str">
        <f t="shared" si="1"/>
        <v>Premium</v>
      </c>
    </row>
    <row r="123" spans="1:16">
      <c r="A123" t="s">
        <v>135</v>
      </c>
      <c r="B123" t="s">
        <v>1018</v>
      </c>
      <c r="C123">
        <v>1457</v>
      </c>
      <c r="D123">
        <v>3</v>
      </c>
      <c r="E123">
        <v>3</v>
      </c>
      <c r="F123">
        <v>28</v>
      </c>
      <c r="G123" t="s">
        <v>1022</v>
      </c>
      <c r="H123" t="s">
        <v>1023</v>
      </c>
      <c r="I123" t="s">
        <v>1022</v>
      </c>
      <c r="J123" t="s">
        <v>1022</v>
      </c>
      <c r="K123" t="s">
        <v>1026</v>
      </c>
      <c r="L123">
        <v>11</v>
      </c>
      <c r="M123">
        <v>20</v>
      </c>
      <c r="N123">
        <v>8350000</v>
      </c>
      <c r="O123">
        <f>PropertyData[[#This Row],[Price]]/PropertyData[[#This Row],[Area_sqft]]</f>
        <v>5730.9540150995199</v>
      </c>
      <c r="P123" t="str">
        <f t="shared" si="1"/>
        <v>Mid-Range</v>
      </c>
    </row>
    <row r="124" spans="1:16">
      <c r="A124" t="s">
        <v>136</v>
      </c>
      <c r="B124" t="s">
        <v>1015</v>
      </c>
      <c r="C124">
        <v>1548</v>
      </c>
      <c r="D124">
        <v>3</v>
      </c>
      <c r="E124">
        <v>2</v>
      </c>
      <c r="F124">
        <v>18</v>
      </c>
      <c r="G124" t="s">
        <v>1023</v>
      </c>
      <c r="H124" t="s">
        <v>1023</v>
      </c>
      <c r="I124" t="s">
        <v>1023</v>
      </c>
      <c r="J124" t="s">
        <v>1022</v>
      </c>
      <c r="K124" t="s">
        <v>1025</v>
      </c>
      <c r="L124">
        <v>2</v>
      </c>
      <c r="M124">
        <v>19</v>
      </c>
      <c r="N124">
        <v>4850000</v>
      </c>
      <c r="O124">
        <f>PropertyData[[#This Row],[Price]]/PropertyData[[#This Row],[Area_sqft]]</f>
        <v>3133.074935400517</v>
      </c>
      <c r="P124" t="str">
        <f t="shared" si="1"/>
        <v>Budget</v>
      </c>
    </row>
    <row r="125" spans="1:16">
      <c r="A125" t="s">
        <v>137</v>
      </c>
      <c r="B125" t="s">
        <v>1018</v>
      </c>
      <c r="C125">
        <v>2102</v>
      </c>
      <c r="D125">
        <v>5</v>
      </c>
      <c r="E125">
        <v>4</v>
      </c>
      <c r="F125">
        <v>10</v>
      </c>
      <c r="G125" t="s">
        <v>1023</v>
      </c>
      <c r="H125" t="s">
        <v>1022</v>
      </c>
      <c r="I125" t="s">
        <v>1023</v>
      </c>
      <c r="J125" t="s">
        <v>1022</v>
      </c>
      <c r="K125" t="s">
        <v>1025</v>
      </c>
      <c r="L125">
        <v>6</v>
      </c>
      <c r="M125">
        <v>7</v>
      </c>
      <c r="N125">
        <v>10100000</v>
      </c>
      <c r="O125">
        <f>PropertyData[[#This Row],[Price]]/PropertyData[[#This Row],[Area_sqft]]</f>
        <v>4804.9476688867744</v>
      </c>
      <c r="P125" t="str">
        <f t="shared" si="1"/>
        <v>Premium</v>
      </c>
    </row>
    <row r="126" spans="1:16">
      <c r="A126" t="s">
        <v>138</v>
      </c>
      <c r="B126" t="s">
        <v>1019</v>
      </c>
      <c r="C126">
        <v>1022</v>
      </c>
      <c r="D126">
        <v>2</v>
      </c>
      <c r="E126">
        <v>3</v>
      </c>
      <c r="F126">
        <v>21</v>
      </c>
      <c r="G126" t="s">
        <v>1022</v>
      </c>
      <c r="H126" t="s">
        <v>1022</v>
      </c>
      <c r="I126" t="s">
        <v>1023</v>
      </c>
      <c r="J126" t="s">
        <v>1022</v>
      </c>
      <c r="K126" t="s">
        <v>1024</v>
      </c>
      <c r="L126">
        <v>15</v>
      </c>
      <c r="M126">
        <v>19</v>
      </c>
      <c r="N126">
        <v>8350000</v>
      </c>
      <c r="O126">
        <f>PropertyData[[#This Row],[Price]]/PropertyData[[#This Row],[Area_sqft]]</f>
        <v>8170.2544031311154</v>
      </c>
      <c r="P126" t="str">
        <f t="shared" si="1"/>
        <v>Mid-Range</v>
      </c>
    </row>
    <row r="127" spans="1:16">
      <c r="A127" t="s">
        <v>139</v>
      </c>
      <c r="B127" t="s">
        <v>1021</v>
      </c>
      <c r="C127">
        <v>962</v>
      </c>
      <c r="D127">
        <v>3</v>
      </c>
      <c r="E127">
        <v>2</v>
      </c>
      <c r="F127">
        <v>5</v>
      </c>
      <c r="G127" t="s">
        <v>1022</v>
      </c>
      <c r="H127" t="s">
        <v>1023</v>
      </c>
      <c r="I127" t="s">
        <v>1023</v>
      </c>
      <c r="J127" t="s">
        <v>1022</v>
      </c>
      <c r="K127" t="s">
        <v>1025</v>
      </c>
      <c r="L127">
        <v>14</v>
      </c>
      <c r="M127">
        <v>22</v>
      </c>
      <c r="N127">
        <v>6750000</v>
      </c>
      <c r="O127">
        <f>PropertyData[[#This Row],[Price]]/PropertyData[[#This Row],[Area_sqft]]</f>
        <v>7016.6320166320165</v>
      </c>
      <c r="P127" t="str">
        <f t="shared" si="1"/>
        <v>Mid-Range</v>
      </c>
    </row>
    <row r="128" spans="1:16">
      <c r="A128" t="s">
        <v>140</v>
      </c>
      <c r="B128" t="s">
        <v>1021</v>
      </c>
      <c r="C128">
        <v>1668</v>
      </c>
      <c r="D128">
        <v>4</v>
      </c>
      <c r="E128">
        <v>4</v>
      </c>
      <c r="F128">
        <v>25</v>
      </c>
      <c r="G128" t="s">
        <v>1022</v>
      </c>
      <c r="H128" t="s">
        <v>1022</v>
      </c>
      <c r="I128" t="s">
        <v>1023</v>
      </c>
      <c r="J128" t="s">
        <v>1022</v>
      </c>
      <c r="K128" t="s">
        <v>1025</v>
      </c>
      <c r="L128">
        <v>4</v>
      </c>
      <c r="M128">
        <v>18</v>
      </c>
      <c r="N128">
        <v>8950000</v>
      </c>
      <c r="O128">
        <f>PropertyData[[#This Row],[Price]]/PropertyData[[#This Row],[Area_sqft]]</f>
        <v>5365.7074340527579</v>
      </c>
      <c r="P128" t="str">
        <f t="shared" si="1"/>
        <v>Mid-Range</v>
      </c>
    </row>
    <row r="129" spans="1:16">
      <c r="A129" t="s">
        <v>141</v>
      </c>
      <c r="B129" t="s">
        <v>1021</v>
      </c>
      <c r="C129">
        <v>1782</v>
      </c>
      <c r="D129">
        <v>4</v>
      </c>
      <c r="E129">
        <v>4</v>
      </c>
      <c r="F129">
        <v>20</v>
      </c>
      <c r="G129" t="s">
        <v>1022</v>
      </c>
      <c r="H129" t="s">
        <v>1022</v>
      </c>
      <c r="I129" t="s">
        <v>1023</v>
      </c>
      <c r="J129" t="s">
        <v>1023</v>
      </c>
      <c r="K129" t="s">
        <v>1024</v>
      </c>
      <c r="L129">
        <v>4</v>
      </c>
      <c r="M129">
        <v>14</v>
      </c>
      <c r="N129">
        <v>12600000</v>
      </c>
      <c r="O129">
        <f>PropertyData[[#This Row],[Price]]/PropertyData[[#This Row],[Area_sqft]]</f>
        <v>7070.7070707070707</v>
      </c>
      <c r="P129" t="str">
        <f t="shared" si="1"/>
        <v>Premium</v>
      </c>
    </row>
    <row r="130" spans="1:16">
      <c r="A130" t="s">
        <v>142</v>
      </c>
      <c r="B130" t="s">
        <v>1021</v>
      </c>
      <c r="C130">
        <v>1743</v>
      </c>
      <c r="D130">
        <v>4</v>
      </c>
      <c r="E130">
        <v>4</v>
      </c>
      <c r="F130">
        <v>15</v>
      </c>
      <c r="G130" t="s">
        <v>1022</v>
      </c>
      <c r="H130" t="s">
        <v>1023</v>
      </c>
      <c r="I130" t="s">
        <v>1023</v>
      </c>
      <c r="J130" t="s">
        <v>1022</v>
      </c>
      <c r="K130" t="s">
        <v>1025</v>
      </c>
      <c r="L130">
        <v>8</v>
      </c>
      <c r="M130">
        <v>23</v>
      </c>
      <c r="N130">
        <v>9050000</v>
      </c>
      <c r="O130">
        <f>PropertyData[[#This Row],[Price]]/PropertyData[[#This Row],[Area_sqft]]</f>
        <v>5192.19736087206</v>
      </c>
      <c r="P130" t="str">
        <f t="shared" ref="P130:P193" si="2">IF(N130&lt;5000000,"Budget",IF(N130&lt;=10000000,"Mid-Range","Premium"))</f>
        <v>Mid-Range</v>
      </c>
    </row>
    <row r="131" spans="1:16">
      <c r="A131" t="s">
        <v>143</v>
      </c>
      <c r="B131" t="s">
        <v>1019</v>
      </c>
      <c r="C131">
        <v>1159</v>
      </c>
      <c r="D131">
        <v>3</v>
      </c>
      <c r="E131">
        <v>2</v>
      </c>
      <c r="F131">
        <v>11</v>
      </c>
      <c r="G131" t="s">
        <v>1022</v>
      </c>
      <c r="H131" t="s">
        <v>1022</v>
      </c>
      <c r="I131" t="s">
        <v>1023</v>
      </c>
      <c r="J131" t="s">
        <v>1022</v>
      </c>
      <c r="K131" t="s">
        <v>1024</v>
      </c>
      <c r="L131">
        <v>10</v>
      </c>
      <c r="M131">
        <v>22</v>
      </c>
      <c r="N131">
        <v>10350000</v>
      </c>
      <c r="O131">
        <f>PropertyData[[#This Row],[Price]]/PropertyData[[#This Row],[Area_sqft]]</f>
        <v>8930.1121656600517</v>
      </c>
      <c r="P131" t="str">
        <f t="shared" si="2"/>
        <v>Premium</v>
      </c>
    </row>
    <row r="132" spans="1:16">
      <c r="A132" t="s">
        <v>144</v>
      </c>
      <c r="B132" t="s">
        <v>1019</v>
      </c>
      <c r="C132">
        <v>1135</v>
      </c>
      <c r="D132">
        <v>2</v>
      </c>
      <c r="E132">
        <v>1</v>
      </c>
      <c r="F132">
        <v>14</v>
      </c>
      <c r="G132" t="s">
        <v>1023</v>
      </c>
      <c r="H132" t="s">
        <v>1023</v>
      </c>
      <c r="I132" t="s">
        <v>1023</v>
      </c>
      <c r="J132" t="s">
        <v>1023</v>
      </c>
      <c r="K132" t="s">
        <v>1026</v>
      </c>
      <c r="L132">
        <v>9</v>
      </c>
      <c r="M132">
        <v>18</v>
      </c>
      <c r="N132">
        <v>8900000</v>
      </c>
      <c r="O132">
        <f>PropertyData[[#This Row],[Price]]/PropertyData[[#This Row],[Area_sqft]]</f>
        <v>7841.4096916299559</v>
      </c>
      <c r="P132" t="str">
        <f t="shared" si="2"/>
        <v>Mid-Range</v>
      </c>
    </row>
    <row r="133" spans="1:16">
      <c r="A133" t="s">
        <v>145</v>
      </c>
      <c r="B133" t="s">
        <v>1020</v>
      </c>
      <c r="C133">
        <v>826</v>
      </c>
      <c r="D133">
        <v>2</v>
      </c>
      <c r="E133">
        <v>1</v>
      </c>
      <c r="F133">
        <v>4</v>
      </c>
      <c r="G133" t="s">
        <v>1022</v>
      </c>
      <c r="H133" t="s">
        <v>1023</v>
      </c>
      <c r="I133" t="s">
        <v>1023</v>
      </c>
      <c r="J133" t="s">
        <v>1022</v>
      </c>
      <c r="K133" t="s">
        <v>1024</v>
      </c>
      <c r="L133">
        <v>18</v>
      </c>
      <c r="M133">
        <v>20</v>
      </c>
      <c r="N133">
        <v>5850000</v>
      </c>
      <c r="O133">
        <f>PropertyData[[#This Row],[Price]]/PropertyData[[#This Row],[Area_sqft]]</f>
        <v>7082.3244552058113</v>
      </c>
      <c r="P133" t="str">
        <f t="shared" si="2"/>
        <v>Mid-Range</v>
      </c>
    </row>
    <row r="134" spans="1:16">
      <c r="A134" t="s">
        <v>146</v>
      </c>
      <c r="B134" t="s">
        <v>1016</v>
      </c>
      <c r="C134">
        <v>1144</v>
      </c>
      <c r="D134">
        <v>2</v>
      </c>
      <c r="E134">
        <v>3</v>
      </c>
      <c r="F134">
        <v>1</v>
      </c>
      <c r="G134" t="s">
        <v>1022</v>
      </c>
      <c r="H134" t="s">
        <v>1022</v>
      </c>
      <c r="I134" t="s">
        <v>1022</v>
      </c>
      <c r="J134" t="s">
        <v>1022</v>
      </c>
      <c r="K134" t="s">
        <v>1025</v>
      </c>
      <c r="L134">
        <v>3</v>
      </c>
      <c r="M134">
        <v>9</v>
      </c>
      <c r="N134">
        <v>6050000</v>
      </c>
      <c r="O134">
        <f>PropertyData[[#This Row],[Price]]/PropertyData[[#This Row],[Area_sqft]]</f>
        <v>5288.4615384615381</v>
      </c>
      <c r="P134" t="str">
        <f t="shared" si="2"/>
        <v>Mid-Range</v>
      </c>
    </row>
    <row r="135" spans="1:16">
      <c r="A135" t="s">
        <v>147</v>
      </c>
      <c r="B135" t="s">
        <v>1018</v>
      </c>
      <c r="C135">
        <v>1034</v>
      </c>
      <c r="D135">
        <v>2</v>
      </c>
      <c r="E135">
        <v>3</v>
      </c>
      <c r="F135">
        <v>1</v>
      </c>
      <c r="G135" t="s">
        <v>1022</v>
      </c>
      <c r="H135" t="s">
        <v>1023</v>
      </c>
      <c r="I135" t="s">
        <v>1023</v>
      </c>
      <c r="J135" t="s">
        <v>1022</v>
      </c>
      <c r="K135" t="s">
        <v>1024</v>
      </c>
      <c r="L135">
        <v>7</v>
      </c>
      <c r="M135">
        <v>15</v>
      </c>
      <c r="N135">
        <v>7500000</v>
      </c>
      <c r="O135">
        <f>PropertyData[[#This Row],[Price]]/PropertyData[[#This Row],[Area_sqft]]</f>
        <v>7253.3849129593809</v>
      </c>
      <c r="P135" t="str">
        <f t="shared" si="2"/>
        <v>Mid-Range</v>
      </c>
    </row>
    <row r="136" spans="1:16">
      <c r="A136" t="s">
        <v>148</v>
      </c>
      <c r="B136" t="s">
        <v>1020</v>
      </c>
      <c r="C136">
        <v>753</v>
      </c>
      <c r="D136">
        <v>2</v>
      </c>
      <c r="E136">
        <v>2</v>
      </c>
      <c r="F136">
        <v>6</v>
      </c>
      <c r="G136" t="s">
        <v>1023</v>
      </c>
      <c r="H136" t="s">
        <v>1022</v>
      </c>
      <c r="I136" t="s">
        <v>1023</v>
      </c>
      <c r="J136" t="s">
        <v>1022</v>
      </c>
      <c r="K136" t="s">
        <v>1025</v>
      </c>
      <c r="L136">
        <v>9</v>
      </c>
      <c r="M136">
        <v>16</v>
      </c>
      <c r="N136">
        <v>5400000</v>
      </c>
      <c r="O136">
        <f>PropertyData[[#This Row],[Price]]/PropertyData[[#This Row],[Area_sqft]]</f>
        <v>7171.314741035857</v>
      </c>
      <c r="P136" t="str">
        <f t="shared" si="2"/>
        <v>Mid-Range</v>
      </c>
    </row>
    <row r="137" spans="1:16">
      <c r="A137" t="s">
        <v>149</v>
      </c>
      <c r="B137" t="s">
        <v>1020</v>
      </c>
      <c r="C137">
        <v>1272</v>
      </c>
      <c r="D137">
        <v>2</v>
      </c>
      <c r="E137">
        <v>2</v>
      </c>
      <c r="F137">
        <v>27</v>
      </c>
      <c r="G137" t="s">
        <v>1023</v>
      </c>
      <c r="H137" t="s">
        <v>1022</v>
      </c>
      <c r="I137" t="s">
        <v>1023</v>
      </c>
      <c r="J137" t="s">
        <v>1023</v>
      </c>
      <c r="K137" t="s">
        <v>1025</v>
      </c>
      <c r="L137">
        <v>18</v>
      </c>
      <c r="M137">
        <v>20</v>
      </c>
      <c r="N137">
        <v>6650000</v>
      </c>
      <c r="O137">
        <f>PropertyData[[#This Row],[Price]]/PropertyData[[#This Row],[Area_sqft]]</f>
        <v>5227.9874213836474</v>
      </c>
      <c r="P137" t="str">
        <f t="shared" si="2"/>
        <v>Mid-Range</v>
      </c>
    </row>
    <row r="138" spans="1:16">
      <c r="A138" t="s">
        <v>150</v>
      </c>
      <c r="B138" t="s">
        <v>1015</v>
      </c>
      <c r="C138">
        <v>1651</v>
      </c>
      <c r="D138">
        <v>3</v>
      </c>
      <c r="E138">
        <v>3</v>
      </c>
      <c r="F138">
        <v>29</v>
      </c>
      <c r="G138" t="s">
        <v>1022</v>
      </c>
      <c r="H138" t="s">
        <v>1023</v>
      </c>
      <c r="I138" t="s">
        <v>1022</v>
      </c>
      <c r="J138" t="s">
        <v>1023</v>
      </c>
      <c r="K138" t="s">
        <v>1025</v>
      </c>
      <c r="L138">
        <v>15</v>
      </c>
      <c r="M138">
        <v>23</v>
      </c>
      <c r="N138">
        <v>5100000</v>
      </c>
      <c r="O138">
        <f>PropertyData[[#This Row],[Price]]/PropertyData[[#This Row],[Area_sqft]]</f>
        <v>3089.036947304664</v>
      </c>
      <c r="P138" t="str">
        <f t="shared" si="2"/>
        <v>Mid-Range</v>
      </c>
    </row>
    <row r="139" spans="1:16">
      <c r="A139" t="s">
        <v>151</v>
      </c>
      <c r="B139" t="s">
        <v>1014</v>
      </c>
      <c r="C139">
        <v>629</v>
      </c>
      <c r="D139">
        <v>2</v>
      </c>
      <c r="E139">
        <v>1</v>
      </c>
      <c r="F139">
        <v>22</v>
      </c>
      <c r="G139" t="s">
        <v>1022</v>
      </c>
      <c r="H139" t="s">
        <v>1022</v>
      </c>
      <c r="I139" t="s">
        <v>1023</v>
      </c>
      <c r="J139" t="s">
        <v>1023</v>
      </c>
      <c r="K139" t="s">
        <v>1025</v>
      </c>
      <c r="L139">
        <v>12</v>
      </c>
      <c r="M139">
        <v>12</v>
      </c>
      <c r="N139">
        <v>3750000</v>
      </c>
      <c r="O139">
        <f>PropertyData[[#This Row],[Price]]/PropertyData[[#This Row],[Area_sqft]]</f>
        <v>5961.8441971383145</v>
      </c>
      <c r="P139" t="str">
        <f t="shared" si="2"/>
        <v>Budget</v>
      </c>
    </row>
    <row r="140" spans="1:16">
      <c r="A140" t="s">
        <v>152</v>
      </c>
      <c r="B140" t="s">
        <v>1020</v>
      </c>
      <c r="C140">
        <v>1126</v>
      </c>
      <c r="D140">
        <v>2</v>
      </c>
      <c r="E140">
        <v>2</v>
      </c>
      <c r="F140">
        <v>20</v>
      </c>
      <c r="G140" t="s">
        <v>1023</v>
      </c>
      <c r="H140" t="s">
        <v>1023</v>
      </c>
      <c r="I140" t="s">
        <v>1023</v>
      </c>
      <c r="J140" t="s">
        <v>1022</v>
      </c>
      <c r="K140" t="s">
        <v>1024</v>
      </c>
      <c r="L140">
        <v>1</v>
      </c>
      <c r="M140">
        <v>24</v>
      </c>
      <c r="N140">
        <v>7250000</v>
      </c>
      <c r="O140">
        <f>PropertyData[[#This Row],[Price]]/PropertyData[[#This Row],[Area_sqft]]</f>
        <v>6438.7211367673181</v>
      </c>
      <c r="P140" t="str">
        <f t="shared" si="2"/>
        <v>Mid-Range</v>
      </c>
    </row>
    <row r="141" spans="1:16">
      <c r="A141" t="s">
        <v>153</v>
      </c>
      <c r="B141" t="s">
        <v>1019</v>
      </c>
      <c r="C141">
        <v>1065</v>
      </c>
      <c r="D141">
        <v>2</v>
      </c>
      <c r="E141">
        <v>2</v>
      </c>
      <c r="F141">
        <v>10</v>
      </c>
      <c r="G141" t="s">
        <v>1023</v>
      </c>
      <c r="H141" t="s">
        <v>1022</v>
      </c>
      <c r="I141" t="s">
        <v>1023</v>
      </c>
      <c r="J141" t="s">
        <v>1023</v>
      </c>
      <c r="K141" t="s">
        <v>1025</v>
      </c>
      <c r="L141">
        <v>6</v>
      </c>
      <c r="M141">
        <v>8</v>
      </c>
      <c r="N141">
        <v>8600000</v>
      </c>
      <c r="O141">
        <f>PropertyData[[#This Row],[Price]]/PropertyData[[#This Row],[Area_sqft]]</f>
        <v>8075.1173708920187</v>
      </c>
      <c r="P141" t="str">
        <f t="shared" si="2"/>
        <v>Mid-Range</v>
      </c>
    </row>
    <row r="142" spans="1:16">
      <c r="A142" t="s">
        <v>154</v>
      </c>
      <c r="B142" t="s">
        <v>1015</v>
      </c>
      <c r="C142">
        <v>2154</v>
      </c>
      <c r="D142">
        <v>5</v>
      </c>
      <c r="E142">
        <v>5</v>
      </c>
      <c r="F142">
        <v>16</v>
      </c>
      <c r="G142" t="s">
        <v>1022</v>
      </c>
      <c r="H142" t="s">
        <v>1023</v>
      </c>
      <c r="I142" t="s">
        <v>1023</v>
      </c>
      <c r="J142" t="s">
        <v>1023</v>
      </c>
      <c r="K142" t="s">
        <v>1025</v>
      </c>
      <c r="L142">
        <v>14</v>
      </c>
      <c r="M142">
        <v>19</v>
      </c>
      <c r="N142">
        <v>5200000</v>
      </c>
      <c r="O142">
        <f>PropertyData[[#This Row],[Price]]/PropertyData[[#This Row],[Area_sqft]]</f>
        <v>2414.113277623027</v>
      </c>
      <c r="P142" t="str">
        <f t="shared" si="2"/>
        <v>Mid-Range</v>
      </c>
    </row>
    <row r="143" spans="1:16">
      <c r="A143" t="s">
        <v>155</v>
      </c>
      <c r="B143" t="s">
        <v>1021</v>
      </c>
      <c r="C143">
        <v>971</v>
      </c>
      <c r="D143">
        <v>2</v>
      </c>
      <c r="E143">
        <v>1</v>
      </c>
      <c r="F143">
        <v>13</v>
      </c>
      <c r="G143" t="s">
        <v>1023</v>
      </c>
      <c r="H143" t="s">
        <v>1023</v>
      </c>
      <c r="I143" t="s">
        <v>1023</v>
      </c>
      <c r="J143" t="s">
        <v>1022</v>
      </c>
      <c r="K143" t="s">
        <v>1024</v>
      </c>
      <c r="L143">
        <v>1</v>
      </c>
      <c r="M143">
        <v>5</v>
      </c>
      <c r="N143">
        <v>5750000</v>
      </c>
      <c r="O143">
        <f>PropertyData[[#This Row],[Price]]/PropertyData[[#This Row],[Area_sqft]]</f>
        <v>5921.7301750772403</v>
      </c>
      <c r="P143" t="str">
        <f t="shared" si="2"/>
        <v>Mid-Range</v>
      </c>
    </row>
    <row r="144" spans="1:16">
      <c r="A144" t="s">
        <v>156</v>
      </c>
      <c r="B144" t="s">
        <v>1014</v>
      </c>
      <c r="C144">
        <v>1401</v>
      </c>
      <c r="D144">
        <v>3</v>
      </c>
      <c r="E144">
        <v>4</v>
      </c>
      <c r="F144">
        <v>5</v>
      </c>
      <c r="G144" t="s">
        <v>1022</v>
      </c>
      <c r="H144" t="s">
        <v>1022</v>
      </c>
      <c r="I144" t="s">
        <v>1022</v>
      </c>
      <c r="J144" t="s">
        <v>1022</v>
      </c>
      <c r="K144" t="s">
        <v>1025</v>
      </c>
      <c r="L144">
        <v>15</v>
      </c>
      <c r="M144">
        <v>18</v>
      </c>
      <c r="N144">
        <v>10850000</v>
      </c>
      <c r="O144">
        <f>PropertyData[[#This Row],[Price]]/PropertyData[[#This Row],[Area_sqft]]</f>
        <v>7744.4682369735901</v>
      </c>
      <c r="P144" t="str">
        <f t="shared" si="2"/>
        <v>Premium</v>
      </c>
    </row>
    <row r="145" spans="1:16">
      <c r="A145" t="s">
        <v>157</v>
      </c>
      <c r="B145" t="s">
        <v>1017</v>
      </c>
      <c r="C145">
        <v>2161</v>
      </c>
      <c r="D145">
        <v>5</v>
      </c>
      <c r="E145">
        <v>5</v>
      </c>
      <c r="F145">
        <v>17</v>
      </c>
      <c r="G145" t="s">
        <v>1022</v>
      </c>
      <c r="H145" t="s">
        <v>1023</v>
      </c>
      <c r="I145" t="s">
        <v>1022</v>
      </c>
      <c r="J145" t="s">
        <v>1022</v>
      </c>
      <c r="K145" t="s">
        <v>1025</v>
      </c>
      <c r="L145">
        <v>2</v>
      </c>
      <c r="M145">
        <v>24</v>
      </c>
      <c r="N145">
        <v>6850000</v>
      </c>
      <c r="O145">
        <f>PropertyData[[#This Row],[Price]]/PropertyData[[#This Row],[Area_sqft]]</f>
        <v>3169.828782970847</v>
      </c>
      <c r="P145" t="str">
        <f t="shared" si="2"/>
        <v>Mid-Range</v>
      </c>
    </row>
    <row r="146" spans="1:16">
      <c r="A146" t="s">
        <v>158</v>
      </c>
      <c r="B146" t="s">
        <v>1021</v>
      </c>
      <c r="C146">
        <v>1226</v>
      </c>
      <c r="D146">
        <v>3</v>
      </c>
      <c r="E146">
        <v>3</v>
      </c>
      <c r="F146">
        <v>10</v>
      </c>
      <c r="G146" t="s">
        <v>1023</v>
      </c>
      <c r="H146" t="s">
        <v>1023</v>
      </c>
      <c r="I146" t="s">
        <v>1023</v>
      </c>
      <c r="J146" t="s">
        <v>1022</v>
      </c>
      <c r="K146" t="s">
        <v>1025</v>
      </c>
      <c r="L146">
        <v>9</v>
      </c>
      <c r="M146">
        <v>11</v>
      </c>
      <c r="N146">
        <v>6900000</v>
      </c>
      <c r="O146">
        <f>PropertyData[[#This Row],[Price]]/PropertyData[[#This Row],[Area_sqft]]</f>
        <v>5628.0587275693315</v>
      </c>
      <c r="P146" t="str">
        <f t="shared" si="2"/>
        <v>Mid-Range</v>
      </c>
    </row>
    <row r="147" spans="1:16">
      <c r="A147" t="s">
        <v>159</v>
      </c>
      <c r="B147" t="s">
        <v>1017</v>
      </c>
      <c r="C147">
        <v>1148</v>
      </c>
      <c r="D147">
        <v>2</v>
      </c>
      <c r="E147">
        <v>2</v>
      </c>
      <c r="F147">
        <v>0</v>
      </c>
      <c r="G147" t="s">
        <v>1022</v>
      </c>
      <c r="H147" t="s">
        <v>1023</v>
      </c>
      <c r="I147" t="s">
        <v>1023</v>
      </c>
      <c r="J147" t="s">
        <v>1022</v>
      </c>
      <c r="K147" t="s">
        <v>1025</v>
      </c>
      <c r="L147">
        <v>20</v>
      </c>
      <c r="M147">
        <v>24</v>
      </c>
      <c r="N147">
        <v>4150000</v>
      </c>
      <c r="O147">
        <f>PropertyData[[#This Row],[Price]]/PropertyData[[#This Row],[Area_sqft]]</f>
        <v>3614.9825783972124</v>
      </c>
      <c r="P147" t="str">
        <f t="shared" si="2"/>
        <v>Budget</v>
      </c>
    </row>
    <row r="148" spans="1:16">
      <c r="A148" t="s">
        <v>160</v>
      </c>
      <c r="B148" t="s">
        <v>1016</v>
      </c>
      <c r="C148">
        <v>1503</v>
      </c>
      <c r="D148">
        <v>4</v>
      </c>
      <c r="E148">
        <v>4</v>
      </c>
      <c r="F148">
        <v>6</v>
      </c>
      <c r="G148" t="s">
        <v>1022</v>
      </c>
      <c r="H148" t="s">
        <v>1022</v>
      </c>
      <c r="I148" t="s">
        <v>1022</v>
      </c>
      <c r="J148" t="s">
        <v>1022</v>
      </c>
      <c r="K148" t="s">
        <v>1024</v>
      </c>
      <c r="L148">
        <v>5</v>
      </c>
      <c r="M148">
        <v>6</v>
      </c>
      <c r="N148">
        <v>8900000</v>
      </c>
      <c r="O148">
        <f>PropertyData[[#This Row],[Price]]/PropertyData[[#This Row],[Area_sqft]]</f>
        <v>5921.4903526280768</v>
      </c>
      <c r="P148" t="str">
        <f t="shared" si="2"/>
        <v>Mid-Range</v>
      </c>
    </row>
    <row r="149" spans="1:16">
      <c r="A149" t="s">
        <v>161</v>
      </c>
      <c r="B149" t="s">
        <v>1015</v>
      </c>
      <c r="C149">
        <v>701</v>
      </c>
      <c r="D149">
        <v>1</v>
      </c>
      <c r="E149">
        <v>2</v>
      </c>
      <c r="F149">
        <v>6</v>
      </c>
      <c r="G149" t="s">
        <v>1022</v>
      </c>
      <c r="H149" t="s">
        <v>1022</v>
      </c>
      <c r="I149" t="s">
        <v>1023</v>
      </c>
      <c r="J149" t="s">
        <v>1022</v>
      </c>
      <c r="K149" t="s">
        <v>1025</v>
      </c>
      <c r="L149">
        <v>18</v>
      </c>
      <c r="M149">
        <v>22</v>
      </c>
      <c r="N149">
        <v>2700000</v>
      </c>
      <c r="O149">
        <f>PropertyData[[#This Row],[Price]]/PropertyData[[#This Row],[Area_sqft]]</f>
        <v>3851.6405135520686</v>
      </c>
      <c r="P149" t="str">
        <f t="shared" si="2"/>
        <v>Budget</v>
      </c>
    </row>
    <row r="150" spans="1:16">
      <c r="A150" t="s">
        <v>162</v>
      </c>
      <c r="B150" t="s">
        <v>1017</v>
      </c>
      <c r="C150">
        <v>697</v>
      </c>
      <c r="D150">
        <v>2</v>
      </c>
      <c r="E150">
        <v>1</v>
      </c>
      <c r="F150">
        <v>19</v>
      </c>
      <c r="G150" t="s">
        <v>1022</v>
      </c>
      <c r="H150" t="s">
        <v>1022</v>
      </c>
      <c r="I150" t="s">
        <v>1022</v>
      </c>
      <c r="J150" t="s">
        <v>1023</v>
      </c>
      <c r="K150" t="s">
        <v>1025</v>
      </c>
      <c r="L150">
        <v>16</v>
      </c>
      <c r="M150">
        <v>17</v>
      </c>
      <c r="N150">
        <v>3100000</v>
      </c>
      <c r="O150">
        <f>PropertyData[[#This Row],[Price]]/PropertyData[[#This Row],[Area_sqft]]</f>
        <v>4447.6327116212342</v>
      </c>
      <c r="P150" t="str">
        <f t="shared" si="2"/>
        <v>Budget</v>
      </c>
    </row>
    <row r="151" spans="1:16">
      <c r="A151" t="s">
        <v>163</v>
      </c>
      <c r="B151" t="s">
        <v>1018</v>
      </c>
      <c r="C151">
        <v>1614</v>
      </c>
      <c r="D151">
        <v>3</v>
      </c>
      <c r="E151">
        <v>4</v>
      </c>
      <c r="F151">
        <v>12</v>
      </c>
      <c r="G151" t="s">
        <v>1022</v>
      </c>
      <c r="H151" t="s">
        <v>1022</v>
      </c>
      <c r="I151" t="s">
        <v>1023</v>
      </c>
      <c r="J151" t="s">
        <v>1023</v>
      </c>
      <c r="K151" t="s">
        <v>1024</v>
      </c>
      <c r="L151">
        <v>2</v>
      </c>
      <c r="M151">
        <v>17</v>
      </c>
      <c r="N151">
        <v>8900000</v>
      </c>
      <c r="O151">
        <f>PropertyData[[#This Row],[Price]]/PropertyData[[#This Row],[Area_sqft]]</f>
        <v>5514.2503097893432</v>
      </c>
      <c r="P151" t="str">
        <f t="shared" si="2"/>
        <v>Mid-Range</v>
      </c>
    </row>
    <row r="152" spans="1:16">
      <c r="A152" t="s">
        <v>164</v>
      </c>
      <c r="B152" t="s">
        <v>1017</v>
      </c>
      <c r="C152">
        <v>1855</v>
      </c>
      <c r="D152">
        <v>4</v>
      </c>
      <c r="E152">
        <v>4</v>
      </c>
      <c r="F152">
        <v>22</v>
      </c>
      <c r="G152" t="s">
        <v>1022</v>
      </c>
      <c r="H152" t="s">
        <v>1023</v>
      </c>
      <c r="I152" t="s">
        <v>1023</v>
      </c>
      <c r="J152" t="s">
        <v>1022</v>
      </c>
      <c r="K152" t="s">
        <v>1025</v>
      </c>
      <c r="L152">
        <v>13</v>
      </c>
      <c r="M152">
        <v>15</v>
      </c>
      <c r="N152">
        <v>6200000</v>
      </c>
      <c r="O152">
        <f>PropertyData[[#This Row],[Price]]/PropertyData[[#This Row],[Area_sqft]]</f>
        <v>3342.3180592991912</v>
      </c>
      <c r="P152" t="str">
        <f t="shared" si="2"/>
        <v>Mid-Range</v>
      </c>
    </row>
    <row r="153" spans="1:16">
      <c r="A153" t="s">
        <v>165</v>
      </c>
      <c r="B153" t="s">
        <v>1017</v>
      </c>
      <c r="C153">
        <v>1492</v>
      </c>
      <c r="D153">
        <v>3</v>
      </c>
      <c r="E153">
        <v>4</v>
      </c>
      <c r="F153">
        <v>18</v>
      </c>
      <c r="G153" t="s">
        <v>1022</v>
      </c>
      <c r="H153" t="s">
        <v>1022</v>
      </c>
      <c r="I153" t="s">
        <v>1023</v>
      </c>
      <c r="J153" t="s">
        <v>1022</v>
      </c>
      <c r="K153" t="s">
        <v>1024</v>
      </c>
      <c r="L153">
        <v>14</v>
      </c>
      <c r="M153">
        <v>17</v>
      </c>
      <c r="N153">
        <v>6600000</v>
      </c>
      <c r="O153">
        <f>PropertyData[[#This Row],[Price]]/PropertyData[[#This Row],[Area_sqft]]</f>
        <v>4423.5924932975868</v>
      </c>
      <c r="P153" t="str">
        <f t="shared" si="2"/>
        <v>Mid-Range</v>
      </c>
    </row>
    <row r="154" spans="1:16">
      <c r="A154" t="s">
        <v>166</v>
      </c>
      <c r="B154" t="s">
        <v>1021</v>
      </c>
      <c r="C154">
        <v>1668</v>
      </c>
      <c r="D154">
        <v>4</v>
      </c>
      <c r="E154">
        <v>4</v>
      </c>
      <c r="F154">
        <v>4</v>
      </c>
      <c r="G154" t="s">
        <v>1022</v>
      </c>
      <c r="H154" t="s">
        <v>1023</v>
      </c>
      <c r="I154" t="s">
        <v>1022</v>
      </c>
      <c r="J154" t="s">
        <v>1022</v>
      </c>
      <c r="K154" t="s">
        <v>1026</v>
      </c>
      <c r="L154">
        <v>15</v>
      </c>
      <c r="M154">
        <v>15</v>
      </c>
      <c r="N154">
        <v>14400000</v>
      </c>
      <c r="O154">
        <f>PropertyData[[#This Row],[Price]]/PropertyData[[#This Row],[Area_sqft]]</f>
        <v>8633.0935251798564</v>
      </c>
      <c r="P154" t="str">
        <f t="shared" si="2"/>
        <v>Premium</v>
      </c>
    </row>
    <row r="155" spans="1:16">
      <c r="A155" t="s">
        <v>167</v>
      </c>
      <c r="B155" t="s">
        <v>1014</v>
      </c>
      <c r="C155">
        <v>824</v>
      </c>
      <c r="D155">
        <v>2</v>
      </c>
      <c r="E155">
        <v>1</v>
      </c>
      <c r="F155">
        <v>16</v>
      </c>
      <c r="G155" t="s">
        <v>1022</v>
      </c>
      <c r="H155" t="s">
        <v>1022</v>
      </c>
      <c r="I155" t="s">
        <v>1022</v>
      </c>
      <c r="J155" t="s">
        <v>1023</v>
      </c>
      <c r="K155" t="s">
        <v>1024</v>
      </c>
      <c r="L155">
        <v>18</v>
      </c>
      <c r="M155">
        <v>19</v>
      </c>
      <c r="N155">
        <v>6200000</v>
      </c>
      <c r="O155">
        <f>PropertyData[[#This Row],[Price]]/PropertyData[[#This Row],[Area_sqft]]</f>
        <v>7524.2718446601939</v>
      </c>
      <c r="P155" t="str">
        <f t="shared" si="2"/>
        <v>Mid-Range</v>
      </c>
    </row>
    <row r="156" spans="1:16">
      <c r="A156" t="s">
        <v>168</v>
      </c>
      <c r="B156" t="s">
        <v>1017</v>
      </c>
      <c r="C156">
        <v>1612</v>
      </c>
      <c r="D156">
        <v>3</v>
      </c>
      <c r="E156">
        <v>3</v>
      </c>
      <c r="F156">
        <v>30</v>
      </c>
      <c r="G156" t="s">
        <v>1022</v>
      </c>
      <c r="H156" t="s">
        <v>1023</v>
      </c>
      <c r="I156" t="s">
        <v>1022</v>
      </c>
      <c r="J156" t="s">
        <v>1022</v>
      </c>
      <c r="K156" t="s">
        <v>1025</v>
      </c>
      <c r="L156">
        <v>17</v>
      </c>
      <c r="M156">
        <v>24</v>
      </c>
      <c r="N156">
        <v>6100000</v>
      </c>
      <c r="O156">
        <f>PropertyData[[#This Row],[Price]]/PropertyData[[#This Row],[Area_sqft]]</f>
        <v>3784.1191066997517</v>
      </c>
      <c r="P156" t="str">
        <f t="shared" si="2"/>
        <v>Mid-Range</v>
      </c>
    </row>
    <row r="157" spans="1:16">
      <c r="A157" t="s">
        <v>169</v>
      </c>
      <c r="B157" t="s">
        <v>1019</v>
      </c>
      <c r="C157">
        <v>660</v>
      </c>
      <c r="D157">
        <v>2</v>
      </c>
      <c r="E157">
        <v>2</v>
      </c>
      <c r="F157">
        <v>17</v>
      </c>
      <c r="G157" t="s">
        <v>1023</v>
      </c>
      <c r="H157" t="s">
        <v>1022</v>
      </c>
      <c r="I157" t="s">
        <v>1022</v>
      </c>
      <c r="J157" t="s">
        <v>1022</v>
      </c>
      <c r="K157" t="s">
        <v>1025</v>
      </c>
      <c r="L157">
        <v>14</v>
      </c>
      <c r="M157">
        <v>14</v>
      </c>
      <c r="N157">
        <v>5450000</v>
      </c>
      <c r="O157">
        <f>PropertyData[[#This Row],[Price]]/PropertyData[[#This Row],[Area_sqft]]</f>
        <v>8257.575757575758</v>
      </c>
      <c r="P157" t="str">
        <f t="shared" si="2"/>
        <v>Mid-Range</v>
      </c>
    </row>
    <row r="158" spans="1:16">
      <c r="A158" t="s">
        <v>170</v>
      </c>
      <c r="B158" t="s">
        <v>1018</v>
      </c>
      <c r="C158">
        <v>1404</v>
      </c>
      <c r="D158">
        <v>3</v>
      </c>
      <c r="E158">
        <v>2</v>
      </c>
      <c r="F158">
        <v>20</v>
      </c>
      <c r="G158" t="s">
        <v>1023</v>
      </c>
      <c r="H158" t="s">
        <v>1022</v>
      </c>
      <c r="I158" t="s">
        <v>1023</v>
      </c>
      <c r="J158" t="s">
        <v>1022</v>
      </c>
      <c r="K158" t="s">
        <v>1026</v>
      </c>
      <c r="L158">
        <v>7</v>
      </c>
      <c r="M158">
        <v>18</v>
      </c>
      <c r="N158">
        <v>7550000</v>
      </c>
      <c r="O158">
        <f>PropertyData[[#This Row],[Price]]/PropertyData[[#This Row],[Area_sqft]]</f>
        <v>5377.4928774928776</v>
      </c>
      <c r="P158" t="str">
        <f t="shared" si="2"/>
        <v>Mid-Range</v>
      </c>
    </row>
    <row r="159" spans="1:16">
      <c r="A159" t="s">
        <v>171</v>
      </c>
      <c r="B159" t="s">
        <v>1018</v>
      </c>
      <c r="C159">
        <v>1403</v>
      </c>
      <c r="D159">
        <v>3</v>
      </c>
      <c r="E159">
        <v>3</v>
      </c>
      <c r="F159">
        <v>12</v>
      </c>
      <c r="G159" t="s">
        <v>1022</v>
      </c>
      <c r="H159" t="s">
        <v>1022</v>
      </c>
      <c r="I159" t="s">
        <v>1023</v>
      </c>
      <c r="J159" t="s">
        <v>1023</v>
      </c>
      <c r="K159" t="s">
        <v>1025</v>
      </c>
      <c r="L159">
        <v>15</v>
      </c>
      <c r="M159">
        <v>17</v>
      </c>
      <c r="N159">
        <v>6050000</v>
      </c>
      <c r="O159">
        <f>PropertyData[[#This Row],[Price]]/PropertyData[[#This Row],[Area_sqft]]</f>
        <v>4312.1881682109761</v>
      </c>
      <c r="P159" t="str">
        <f t="shared" si="2"/>
        <v>Mid-Range</v>
      </c>
    </row>
    <row r="160" spans="1:16">
      <c r="A160" t="s">
        <v>172</v>
      </c>
      <c r="B160" t="s">
        <v>1014</v>
      </c>
      <c r="C160">
        <v>1494</v>
      </c>
      <c r="D160">
        <v>3</v>
      </c>
      <c r="E160">
        <v>3</v>
      </c>
      <c r="F160">
        <v>2</v>
      </c>
      <c r="G160" t="s">
        <v>1022</v>
      </c>
      <c r="H160" t="s">
        <v>1023</v>
      </c>
      <c r="I160" t="s">
        <v>1023</v>
      </c>
      <c r="J160" t="s">
        <v>1023</v>
      </c>
      <c r="K160" t="s">
        <v>1024</v>
      </c>
      <c r="L160">
        <v>15</v>
      </c>
      <c r="M160">
        <v>23</v>
      </c>
      <c r="N160">
        <v>12750000</v>
      </c>
      <c r="O160">
        <f>PropertyData[[#This Row],[Price]]/PropertyData[[#This Row],[Area_sqft]]</f>
        <v>8534.1365461847381</v>
      </c>
      <c r="P160" t="str">
        <f t="shared" si="2"/>
        <v>Premium</v>
      </c>
    </row>
    <row r="161" spans="1:16">
      <c r="A161" t="s">
        <v>173</v>
      </c>
      <c r="B161" t="s">
        <v>1018</v>
      </c>
      <c r="C161">
        <v>1012</v>
      </c>
      <c r="D161">
        <v>2</v>
      </c>
      <c r="E161">
        <v>2</v>
      </c>
      <c r="F161">
        <v>9</v>
      </c>
      <c r="G161" t="s">
        <v>1022</v>
      </c>
      <c r="H161" t="s">
        <v>1022</v>
      </c>
      <c r="I161" t="s">
        <v>1023</v>
      </c>
      <c r="J161" t="s">
        <v>1023</v>
      </c>
      <c r="K161" t="s">
        <v>1025</v>
      </c>
      <c r="L161">
        <v>2</v>
      </c>
      <c r="M161">
        <v>10</v>
      </c>
      <c r="N161">
        <v>4850000</v>
      </c>
      <c r="O161">
        <f>PropertyData[[#This Row],[Price]]/PropertyData[[#This Row],[Area_sqft]]</f>
        <v>4792.490118577075</v>
      </c>
      <c r="P161" t="str">
        <f t="shared" si="2"/>
        <v>Budget</v>
      </c>
    </row>
    <row r="162" spans="1:16">
      <c r="A162" t="s">
        <v>174</v>
      </c>
      <c r="B162" t="s">
        <v>1018</v>
      </c>
      <c r="C162">
        <v>1208</v>
      </c>
      <c r="D162">
        <v>3</v>
      </c>
      <c r="E162">
        <v>3</v>
      </c>
      <c r="F162">
        <v>1</v>
      </c>
      <c r="G162" t="s">
        <v>1023</v>
      </c>
      <c r="H162" t="s">
        <v>1023</v>
      </c>
      <c r="I162" t="s">
        <v>1023</v>
      </c>
      <c r="J162" t="s">
        <v>1023</v>
      </c>
      <c r="K162" t="s">
        <v>1024</v>
      </c>
      <c r="L162">
        <v>6</v>
      </c>
      <c r="M162">
        <v>24</v>
      </c>
      <c r="N162">
        <v>7050000</v>
      </c>
      <c r="O162">
        <f>PropertyData[[#This Row],[Price]]/PropertyData[[#This Row],[Area_sqft]]</f>
        <v>5836.0927152317881</v>
      </c>
      <c r="P162" t="str">
        <f t="shared" si="2"/>
        <v>Mid-Range</v>
      </c>
    </row>
    <row r="163" spans="1:16">
      <c r="A163" t="s">
        <v>175</v>
      </c>
      <c r="B163" t="s">
        <v>1017</v>
      </c>
      <c r="C163">
        <v>1156</v>
      </c>
      <c r="D163">
        <v>2</v>
      </c>
      <c r="E163">
        <v>2</v>
      </c>
      <c r="F163">
        <v>2</v>
      </c>
      <c r="G163" t="s">
        <v>1022</v>
      </c>
      <c r="H163" t="s">
        <v>1023</v>
      </c>
      <c r="I163" t="s">
        <v>1022</v>
      </c>
      <c r="J163" t="s">
        <v>1022</v>
      </c>
      <c r="K163" t="s">
        <v>1025</v>
      </c>
      <c r="L163">
        <v>10</v>
      </c>
      <c r="M163">
        <v>15</v>
      </c>
      <c r="N163">
        <v>5100000</v>
      </c>
      <c r="O163">
        <f>PropertyData[[#This Row],[Price]]/PropertyData[[#This Row],[Area_sqft]]</f>
        <v>4411.7647058823532</v>
      </c>
      <c r="P163" t="str">
        <f t="shared" si="2"/>
        <v>Mid-Range</v>
      </c>
    </row>
    <row r="164" spans="1:16">
      <c r="A164" t="s">
        <v>176</v>
      </c>
      <c r="B164" t="s">
        <v>1015</v>
      </c>
      <c r="C164">
        <v>1526</v>
      </c>
      <c r="D164">
        <v>3</v>
      </c>
      <c r="E164">
        <v>3</v>
      </c>
      <c r="F164">
        <v>28</v>
      </c>
      <c r="G164" t="s">
        <v>1022</v>
      </c>
      <c r="H164" t="s">
        <v>1022</v>
      </c>
      <c r="I164" t="s">
        <v>1023</v>
      </c>
      <c r="J164" t="s">
        <v>1022</v>
      </c>
      <c r="K164" t="s">
        <v>1025</v>
      </c>
      <c r="L164">
        <v>4</v>
      </c>
      <c r="M164">
        <v>5</v>
      </c>
      <c r="N164">
        <v>4500000</v>
      </c>
      <c r="O164">
        <f>PropertyData[[#This Row],[Price]]/PropertyData[[#This Row],[Area_sqft]]</f>
        <v>2948.885976408912</v>
      </c>
      <c r="P164" t="str">
        <f t="shared" si="2"/>
        <v>Budget</v>
      </c>
    </row>
    <row r="165" spans="1:16">
      <c r="A165" t="s">
        <v>177</v>
      </c>
      <c r="B165" t="s">
        <v>1015</v>
      </c>
      <c r="C165">
        <v>1246</v>
      </c>
      <c r="D165">
        <v>2</v>
      </c>
      <c r="E165">
        <v>2</v>
      </c>
      <c r="F165">
        <v>18</v>
      </c>
      <c r="G165" t="s">
        <v>1022</v>
      </c>
      <c r="H165" t="s">
        <v>1022</v>
      </c>
      <c r="I165" t="s">
        <v>1023</v>
      </c>
      <c r="J165" t="s">
        <v>1022</v>
      </c>
      <c r="K165" t="s">
        <v>1024</v>
      </c>
      <c r="L165">
        <v>4</v>
      </c>
      <c r="M165">
        <v>22</v>
      </c>
      <c r="N165">
        <v>4150000</v>
      </c>
      <c r="O165">
        <f>PropertyData[[#This Row],[Price]]/PropertyData[[#This Row],[Area_sqft]]</f>
        <v>3330.6581059390046</v>
      </c>
      <c r="P165" t="str">
        <f t="shared" si="2"/>
        <v>Budget</v>
      </c>
    </row>
    <row r="166" spans="1:16">
      <c r="A166" t="s">
        <v>178</v>
      </c>
      <c r="B166" t="s">
        <v>1018</v>
      </c>
      <c r="C166">
        <v>898</v>
      </c>
      <c r="D166">
        <v>2</v>
      </c>
      <c r="E166">
        <v>1</v>
      </c>
      <c r="F166">
        <v>19</v>
      </c>
      <c r="G166" t="s">
        <v>1022</v>
      </c>
      <c r="H166" t="s">
        <v>1023</v>
      </c>
      <c r="I166" t="s">
        <v>1023</v>
      </c>
      <c r="J166" t="s">
        <v>1022</v>
      </c>
      <c r="K166" t="s">
        <v>1025</v>
      </c>
      <c r="L166">
        <v>13</v>
      </c>
      <c r="M166">
        <v>13</v>
      </c>
      <c r="N166">
        <v>4050000</v>
      </c>
      <c r="O166">
        <f>PropertyData[[#This Row],[Price]]/PropertyData[[#This Row],[Area_sqft]]</f>
        <v>4510.0222717149218</v>
      </c>
      <c r="P166" t="str">
        <f t="shared" si="2"/>
        <v>Budget</v>
      </c>
    </row>
    <row r="167" spans="1:16">
      <c r="A167" t="s">
        <v>179</v>
      </c>
      <c r="B167" t="s">
        <v>1020</v>
      </c>
      <c r="C167">
        <v>1503</v>
      </c>
      <c r="D167">
        <v>3</v>
      </c>
      <c r="E167">
        <v>3</v>
      </c>
      <c r="F167">
        <v>25</v>
      </c>
      <c r="G167" t="s">
        <v>1022</v>
      </c>
      <c r="H167" t="s">
        <v>1022</v>
      </c>
      <c r="I167" t="s">
        <v>1023</v>
      </c>
      <c r="J167" t="s">
        <v>1022</v>
      </c>
      <c r="K167" t="s">
        <v>1024</v>
      </c>
      <c r="L167">
        <v>13</v>
      </c>
      <c r="M167">
        <v>23</v>
      </c>
      <c r="N167">
        <v>10400000</v>
      </c>
      <c r="O167">
        <f>PropertyData[[#This Row],[Price]]/PropertyData[[#This Row],[Area_sqft]]</f>
        <v>6919.4943446440457</v>
      </c>
      <c r="P167" t="str">
        <f t="shared" si="2"/>
        <v>Premium</v>
      </c>
    </row>
    <row r="168" spans="1:16">
      <c r="A168" t="s">
        <v>180</v>
      </c>
      <c r="B168" t="s">
        <v>1020</v>
      </c>
      <c r="C168">
        <v>1244</v>
      </c>
      <c r="D168">
        <v>3</v>
      </c>
      <c r="E168">
        <v>2</v>
      </c>
      <c r="F168">
        <v>4</v>
      </c>
      <c r="G168" t="s">
        <v>1022</v>
      </c>
      <c r="H168" t="s">
        <v>1022</v>
      </c>
      <c r="I168" t="s">
        <v>1023</v>
      </c>
      <c r="J168" t="s">
        <v>1022</v>
      </c>
      <c r="K168" t="s">
        <v>1025</v>
      </c>
      <c r="L168">
        <v>4</v>
      </c>
      <c r="M168">
        <v>10</v>
      </c>
      <c r="N168">
        <v>7750000</v>
      </c>
      <c r="O168">
        <f>PropertyData[[#This Row],[Price]]/PropertyData[[#This Row],[Area_sqft]]</f>
        <v>6229.903536977492</v>
      </c>
      <c r="P168" t="str">
        <f t="shared" si="2"/>
        <v>Mid-Range</v>
      </c>
    </row>
    <row r="169" spans="1:16">
      <c r="A169" t="s">
        <v>181</v>
      </c>
      <c r="B169" t="s">
        <v>1014</v>
      </c>
      <c r="C169">
        <v>1266</v>
      </c>
      <c r="D169">
        <v>3</v>
      </c>
      <c r="E169">
        <v>2</v>
      </c>
      <c r="F169">
        <v>24</v>
      </c>
      <c r="G169" t="s">
        <v>1023</v>
      </c>
      <c r="H169" t="s">
        <v>1023</v>
      </c>
      <c r="I169" t="s">
        <v>1023</v>
      </c>
      <c r="J169" t="s">
        <v>1022</v>
      </c>
      <c r="K169" t="s">
        <v>1025</v>
      </c>
      <c r="L169">
        <v>12</v>
      </c>
      <c r="M169">
        <v>21</v>
      </c>
      <c r="N169">
        <v>7100000</v>
      </c>
      <c r="O169">
        <f>PropertyData[[#This Row],[Price]]/PropertyData[[#This Row],[Area_sqft]]</f>
        <v>5608.2148499210107</v>
      </c>
      <c r="P169" t="str">
        <f t="shared" si="2"/>
        <v>Mid-Range</v>
      </c>
    </row>
    <row r="170" spans="1:16">
      <c r="A170" t="s">
        <v>182</v>
      </c>
      <c r="B170" t="s">
        <v>1015</v>
      </c>
      <c r="C170">
        <v>857</v>
      </c>
      <c r="D170">
        <v>2</v>
      </c>
      <c r="E170">
        <v>2</v>
      </c>
      <c r="F170">
        <v>24</v>
      </c>
      <c r="G170" t="s">
        <v>1023</v>
      </c>
      <c r="H170" t="s">
        <v>1022</v>
      </c>
      <c r="I170" t="s">
        <v>1023</v>
      </c>
      <c r="J170" t="s">
        <v>1022</v>
      </c>
      <c r="K170" t="s">
        <v>1025</v>
      </c>
      <c r="L170">
        <v>20</v>
      </c>
      <c r="M170">
        <v>21</v>
      </c>
      <c r="N170">
        <v>2150000</v>
      </c>
      <c r="O170">
        <f>PropertyData[[#This Row],[Price]]/PropertyData[[#This Row],[Area_sqft]]</f>
        <v>2508.7514585764293</v>
      </c>
      <c r="P170" t="str">
        <f t="shared" si="2"/>
        <v>Budget</v>
      </c>
    </row>
    <row r="171" spans="1:16">
      <c r="A171" t="s">
        <v>183</v>
      </c>
      <c r="B171" t="s">
        <v>1019</v>
      </c>
      <c r="C171">
        <v>732</v>
      </c>
      <c r="D171">
        <v>2</v>
      </c>
      <c r="E171">
        <v>2</v>
      </c>
      <c r="F171">
        <v>30</v>
      </c>
      <c r="G171" t="s">
        <v>1022</v>
      </c>
      <c r="H171" t="s">
        <v>1023</v>
      </c>
      <c r="I171" t="s">
        <v>1023</v>
      </c>
      <c r="J171" t="s">
        <v>1022</v>
      </c>
      <c r="K171" t="s">
        <v>1025</v>
      </c>
      <c r="L171">
        <v>16</v>
      </c>
      <c r="M171">
        <v>22</v>
      </c>
      <c r="N171">
        <v>4300000</v>
      </c>
      <c r="O171">
        <f>PropertyData[[#This Row],[Price]]/PropertyData[[#This Row],[Area_sqft]]</f>
        <v>5874.3169398907103</v>
      </c>
      <c r="P171" t="str">
        <f t="shared" si="2"/>
        <v>Budget</v>
      </c>
    </row>
    <row r="172" spans="1:16">
      <c r="A172" t="s">
        <v>184</v>
      </c>
      <c r="B172" t="s">
        <v>1017</v>
      </c>
      <c r="C172">
        <v>1123</v>
      </c>
      <c r="D172">
        <v>2</v>
      </c>
      <c r="E172">
        <v>1</v>
      </c>
      <c r="F172">
        <v>4</v>
      </c>
      <c r="G172" t="s">
        <v>1022</v>
      </c>
      <c r="H172" t="s">
        <v>1022</v>
      </c>
      <c r="I172" t="s">
        <v>1023</v>
      </c>
      <c r="J172" t="s">
        <v>1022</v>
      </c>
      <c r="K172" t="s">
        <v>1025</v>
      </c>
      <c r="L172">
        <v>12</v>
      </c>
      <c r="M172">
        <v>20</v>
      </c>
      <c r="N172">
        <v>4550000</v>
      </c>
      <c r="O172">
        <f>PropertyData[[#This Row],[Price]]/PropertyData[[#This Row],[Area_sqft]]</f>
        <v>4051.6473731077472</v>
      </c>
      <c r="P172" t="str">
        <f t="shared" si="2"/>
        <v>Budget</v>
      </c>
    </row>
    <row r="173" spans="1:16">
      <c r="A173" t="s">
        <v>185</v>
      </c>
      <c r="B173" t="s">
        <v>1017</v>
      </c>
      <c r="C173">
        <v>901</v>
      </c>
      <c r="D173">
        <v>2</v>
      </c>
      <c r="E173">
        <v>2</v>
      </c>
      <c r="F173">
        <v>21</v>
      </c>
      <c r="G173" t="s">
        <v>1022</v>
      </c>
      <c r="H173" t="s">
        <v>1022</v>
      </c>
      <c r="I173" t="s">
        <v>1022</v>
      </c>
      <c r="J173" t="s">
        <v>1023</v>
      </c>
      <c r="K173" t="s">
        <v>1025</v>
      </c>
      <c r="L173">
        <v>11</v>
      </c>
      <c r="M173">
        <v>19</v>
      </c>
      <c r="N173">
        <v>3350000</v>
      </c>
      <c r="O173">
        <f>PropertyData[[#This Row],[Price]]/PropertyData[[#This Row],[Area_sqft]]</f>
        <v>3718.0910099889011</v>
      </c>
      <c r="P173" t="str">
        <f t="shared" si="2"/>
        <v>Budget</v>
      </c>
    </row>
    <row r="174" spans="1:16">
      <c r="A174" t="s">
        <v>186</v>
      </c>
      <c r="B174" t="s">
        <v>1014</v>
      </c>
      <c r="C174">
        <v>1122</v>
      </c>
      <c r="D174">
        <v>3</v>
      </c>
      <c r="E174">
        <v>3</v>
      </c>
      <c r="F174">
        <v>1</v>
      </c>
      <c r="G174" t="s">
        <v>1022</v>
      </c>
      <c r="H174" t="s">
        <v>1022</v>
      </c>
      <c r="I174" t="s">
        <v>1022</v>
      </c>
      <c r="J174" t="s">
        <v>1023</v>
      </c>
      <c r="K174" t="s">
        <v>1024</v>
      </c>
      <c r="L174">
        <v>19</v>
      </c>
      <c r="M174">
        <v>23</v>
      </c>
      <c r="N174">
        <v>9950000</v>
      </c>
      <c r="O174">
        <f>PropertyData[[#This Row],[Price]]/PropertyData[[#This Row],[Area_sqft]]</f>
        <v>8868.0926916221033</v>
      </c>
      <c r="P174" t="str">
        <f t="shared" si="2"/>
        <v>Mid-Range</v>
      </c>
    </row>
    <row r="175" spans="1:16">
      <c r="A175" t="s">
        <v>187</v>
      </c>
      <c r="B175" t="s">
        <v>1014</v>
      </c>
      <c r="C175">
        <v>813</v>
      </c>
      <c r="D175">
        <v>1</v>
      </c>
      <c r="E175">
        <v>1</v>
      </c>
      <c r="F175">
        <v>18</v>
      </c>
      <c r="G175" t="s">
        <v>1023</v>
      </c>
      <c r="H175" t="s">
        <v>1022</v>
      </c>
      <c r="I175" t="s">
        <v>1023</v>
      </c>
      <c r="J175" t="s">
        <v>1022</v>
      </c>
      <c r="K175" t="s">
        <v>1025</v>
      </c>
      <c r="L175">
        <v>4</v>
      </c>
      <c r="M175">
        <v>17</v>
      </c>
      <c r="N175">
        <v>5200000</v>
      </c>
      <c r="O175">
        <f>PropertyData[[#This Row],[Price]]/PropertyData[[#This Row],[Area_sqft]]</f>
        <v>6396.0639606396062</v>
      </c>
      <c r="P175" t="str">
        <f t="shared" si="2"/>
        <v>Mid-Range</v>
      </c>
    </row>
    <row r="176" spans="1:16">
      <c r="A176" t="s">
        <v>188</v>
      </c>
      <c r="B176" t="s">
        <v>1016</v>
      </c>
      <c r="C176">
        <v>874</v>
      </c>
      <c r="D176">
        <v>2</v>
      </c>
      <c r="E176">
        <v>3</v>
      </c>
      <c r="F176">
        <v>13</v>
      </c>
      <c r="G176" t="s">
        <v>1022</v>
      </c>
      <c r="H176" t="s">
        <v>1022</v>
      </c>
      <c r="I176" t="s">
        <v>1023</v>
      </c>
      <c r="J176" t="s">
        <v>1022</v>
      </c>
      <c r="K176" t="s">
        <v>1025</v>
      </c>
      <c r="L176">
        <v>2</v>
      </c>
      <c r="M176">
        <v>4</v>
      </c>
      <c r="N176">
        <v>4200000</v>
      </c>
      <c r="O176">
        <f>PropertyData[[#This Row],[Price]]/PropertyData[[#This Row],[Area_sqft]]</f>
        <v>4805.4919908466818</v>
      </c>
      <c r="P176" t="str">
        <f t="shared" si="2"/>
        <v>Budget</v>
      </c>
    </row>
    <row r="177" spans="1:16">
      <c r="A177" t="s">
        <v>189</v>
      </c>
      <c r="B177" t="s">
        <v>1018</v>
      </c>
      <c r="C177">
        <v>1103</v>
      </c>
      <c r="D177">
        <v>2</v>
      </c>
      <c r="E177">
        <v>2</v>
      </c>
      <c r="F177">
        <v>24</v>
      </c>
      <c r="G177" t="s">
        <v>1022</v>
      </c>
      <c r="H177" t="s">
        <v>1022</v>
      </c>
      <c r="I177" t="s">
        <v>1023</v>
      </c>
      <c r="J177" t="s">
        <v>1022</v>
      </c>
      <c r="K177" t="s">
        <v>1025</v>
      </c>
      <c r="L177">
        <v>12</v>
      </c>
      <c r="M177">
        <v>21</v>
      </c>
      <c r="N177">
        <v>4750000</v>
      </c>
      <c r="O177">
        <f>PropertyData[[#This Row],[Price]]/PropertyData[[#This Row],[Area_sqft]]</f>
        <v>4306.4369900271986</v>
      </c>
      <c r="P177" t="str">
        <f t="shared" si="2"/>
        <v>Budget</v>
      </c>
    </row>
    <row r="178" spans="1:16">
      <c r="A178" t="s">
        <v>190</v>
      </c>
      <c r="B178" t="s">
        <v>1018</v>
      </c>
      <c r="C178">
        <v>1180</v>
      </c>
      <c r="D178">
        <v>3</v>
      </c>
      <c r="E178">
        <v>3</v>
      </c>
      <c r="F178">
        <v>8</v>
      </c>
      <c r="G178" t="s">
        <v>1022</v>
      </c>
      <c r="H178" t="s">
        <v>1023</v>
      </c>
      <c r="I178" t="s">
        <v>1023</v>
      </c>
      <c r="J178" t="s">
        <v>1022</v>
      </c>
      <c r="K178" t="s">
        <v>1025</v>
      </c>
      <c r="L178">
        <v>20</v>
      </c>
      <c r="M178">
        <v>23</v>
      </c>
      <c r="N178">
        <v>5450000</v>
      </c>
      <c r="O178">
        <f>PropertyData[[#This Row],[Price]]/PropertyData[[#This Row],[Area_sqft]]</f>
        <v>4618.6440677966102</v>
      </c>
      <c r="P178" t="str">
        <f t="shared" si="2"/>
        <v>Mid-Range</v>
      </c>
    </row>
    <row r="179" spans="1:16">
      <c r="A179" t="s">
        <v>191</v>
      </c>
      <c r="B179" t="s">
        <v>1019</v>
      </c>
      <c r="C179">
        <v>2207</v>
      </c>
      <c r="D179">
        <v>4</v>
      </c>
      <c r="E179">
        <v>4</v>
      </c>
      <c r="F179">
        <v>22</v>
      </c>
      <c r="G179" t="s">
        <v>1022</v>
      </c>
      <c r="H179" t="s">
        <v>1023</v>
      </c>
      <c r="I179" t="s">
        <v>1023</v>
      </c>
      <c r="J179" t="s">
        <v>1022</v>
      </c>
      <c r="K179" t="s">
        <v>1025</v>
      </c>
      <c r="L179">
        <v>4</v>
      </c>
      <c r="M179">
        <v>9</v>
      </c>
      <c r="N179">
        <v>15500000</v>
      </c>
      <c r="O179">
        <f>PropertyData[[#This Row],[Price]]/PropertyData[[#This Row],[Area_sqft]]</f>
        <v>7023.1082917988215</v>
      </c>
      <c r="P179" t="str">
        <f t="shared" si="2"/>
        <v>Premium</v>
      </c>
    </row>
    <row r="180" spans="1:16">
      <c r="A180" t="s">
        <v>192</v>
      </c>
      <c r="B180" t="s">
        <v>1015</v>
      </c>
      <c r="C180">
        <v>1595</v>
      </c>
      <c r="D180">
        <v>4</v>
      </c>
      <c r="E180">
        <v>4</v>
      </c>
      <c r="F180">
        <v>0</v>
      </c>
      <c r="G180" t="s">
        <v>1022</v>
      </c>
      <c r="H180" t="s">
        <v>1023</v>
      </c>
      <c r="I180" t="s">
        <v>1023</v>
      </c>
      <c r="J180" t="s">
        <v>1022</v>
      </c>
      <c r="K180" t="s">
        <v>1025</v>
      </c>
      <c r="L180">
        <v>4</v>
      </c>
      <c r="M180">
        <v>9</v>
      </c>
      <c r="N180">
        <v>6250000</v>
      </c>
      <c r="O180">
        <f>PropertyData[[#This Row],[Price]]/PropertyData[[#This Row],[Area_sqft]]</f>
        <v>3918.4952978056426</v>
      </c>
      <c r="P180" t="str">
        <f t="shared" si="2"/>
        <v>Mid-Range</v>
      </c>
    </row>
    <row r="181" spans="1:16">
      <c r="A181" t="s">
        <v>193</v>
      </c>
      <c r="B181" t="s">
        <v>1019</v>
      </c>
      <c r="C181">
        <v>941</v>
      </c>
      <c r="D181">
        <v>2</v>
      </c>
      <c r="E181">
        <v>2</v>
      </c>
      <c r="F181">
        <v>3</v>
      </c>
      <c r="G181" t="s">
        <v>1022</v>
      </c>
      <c r="H181" t="s">
        <v>1023</v>
      </c>
      <c r="I181" t="s">
        <v>1022</v>
      </c>
      <c r="J181" t="s">
        <v>1022</v>
      </c>
      <c r="K181" t="s">
        <v>1025</v>
      </c>
      <c r="L181">
        <v>9</v>
      </c>
      <c r="M181">
        <v>12</v>
      </c>
      <c r="N181">
        <v>8300000</v>
      </c>
      <c r="O181">
        <f>PropertyData[[#This Row],[Price]]/PropertyData[[#This Row],[Area_sqft]]</f>
        <v>8820.4038257173215</v>
      </c>
      <c r="P181" t="str">
        <f t="shared" si="2"/>
        <v>Mid-Range</v>
      </c>
    </row>
    <row r="182" spans="1:16">
      <c r="A182" t="s">
        <v>194</v>
      </c>
      <c r="B182" t="s">
        <v>1015</v>
      </c>
      <c r="C182">
        <v>1110</v>
      </c>
      <c r="D182">
        <v>3</v>
      </c>
      <c r="E182">
        <v>3</v>
      </c>
      <c r="F182">
        <v>23</v>
      </c>
      <c r="G182" t="s">
        <v>1022</v>
      </c>
      <c r="H182" t="s">
        <v>1023</v>
      </c>
      <c r="I182" t="s">
        <v>1023</v>
      </c>
      <c r="J182" t="s">
        <v>1022</v>
      </c>
      <c r="K182" t="s">
        <v>1025</v>
      </c>
      <c r="L182">
        <v>1</v>
      </c>
      <c r="M182">
        <v>22</v>
      </c>
      <c r="N182">
        <v>3550000</v>
      </c>
      <c r="O182">
        <f>PropertyData[[#This Row],[Price]]/PropertyData[[#This Row],[Area_sqft]]</f>
        <v>3198.198198198198</v>
      </c>
      <c r="P182" t="str">
        <f t="shared" si="2"/>
        <v>Budget</v>
      </c>
    </row>
    <row r="183" spans="1:16">
      <c r="A183" t="s">
        <v>195</v>
      </c>
      <c r="B183" t="s">
        <v>1021</v>
      </c>
      <c r="C183">
        <v>1187</v>
      </c>
      <c r="D183">
        <v>2</v>
      </c>
      <c r="E183">
        <v>2</v>
      </c>
      <c r="F183">
        <v>15</v>
      </c>
      <c r="G183" t="s">
        <v>1022</v>
      </c>
      <c r="H183" t="s">
        <v>1023</v>
      </c>
      <c r="I183" t="s">
        <v>1023</v>
      </c>
      <c r="J183" t="s">
        <v>1023</v>
      </c>
      <c r="K183" t="s">
        <v>1025</v>
      </c>
      <c r="L183">
        <v>3</v>
      </c>
      <c r="M183">
        <v>3</v>
      </c>
      <c r="N183">
        <v>7200000</v>
      </c>
      <c r="O183">
        <f>PropertyData[[#This Row],[Price]]/PropertyData[[#This Row],[Area_sqft]]</f>
        <v>6065.7118786857627</v>
      </c>
      <c r="P183" t="str">
        <f t="shared" si="2"/>
        <v>Mid-Range</v>
      </c>
    </row>
    <row r="184" spans="1:16">
      <c r="A184" t="s">
        <v>196</v>
      </c>
      <c r="B184" t="s">
        <v>1016</v>
      </c>
      <c r="C184">
        <v>966</v>
      </c>
      <c r="D184">
        <v>2</v>
      </c>
      <c r="E184">
        <v>2</v>
      </c>
      <c r="F184">
        <v>6</v>
      </c>
      <c r="G184" t="s">
        <v>1022</v>
      </c>
      <c r="H184" t="s">
        <v>1023</v>
      </c>
      <c r="I184" t="s">
        <v>1023</v>
      </c>
      <c r="J184" t="s">
        <v>1022</v>
      </c>
      <c r="K184" t="s">
        <v>1024</v>
      </c>
      <c r="L184">
        <v>3</v>
      </c>
      <c r="M184">
        <v>6</v>
      </c>
      <c r="N184">
        <v>5150000</v>
      </c>
      <c r="O184">
        <f>PropertyData[[#This Row],[Price]]/PropertyData[[#This Row],[Area_sqft]]</f>
        <v>5331.2629399585921</v>
      </c>
      <c r="P184" t="str">
        <f t="shared" si="2"/>
        <v>Mid-Range</v>
      </c>
    </row>
    <row r="185" spans="1:16">
      <c r="A185" t="s">
        <v>197</v>
      </c>
      <c r="B185" t="s">
        <v>1019</v>
      </c>
      <c r="C185">
        <v>1142</v>
      </c>
      <c r="D185">
        <v>2</v>
      </c>
      <c r="E185">
        <v>3</v>
      </c>
      <c r="F185">
        <v>11</v>
      </c>
      <c r="G185" t="s">
        <v>1022</v>
      </c>
      <c r="H185" t="s">
        <v>1023</v>
      </c>
      <c r="I185" t="s">
        <v>1022</v>
      </c>
      <c r="J185" t="s">
        <v>1023</v>
      </c>
      <c r="K185" t="s">
        <v>1025</v>
      </c>
      <c r="L185">
        <v>19</v>
      </c>
      <c r="M185">
        <v>19</v>
      </c>
      <c r="N185">
        <v>9200000</v>
      </c>
      <c r="O185">
        <f>PropertyData[[#This Row],[Price]]/PropertyData[[#This Row],[Area_sqft]]</f>
        <v>8056.0420315236424</v>
      </c>
      <c r="P185" t="str">
        <f t="shared" si="2"/>
        <v>Mid-Range</v>
      </c>
    </row>
    <row r="186" spans="1:16">
      <c r="A186" t="s">
        <v>198</v>
      </c>
      <c r="B186" t="s">
        <v>1015</v>
      </c>
      <c r="C186">
        <v>1069</v>
      </c>
      <c r="D186">
        <v>3</v>
      </c>
      <c r="E186">
        <v>3</v>
      </c>
      <c r="F186">
        <v>13</v>
      </c>
      <c r="G186" t="s">
        <v>1023</v>
      </c>
      <c r="H186" t="s">
        <v>1022</v>
      </c>
      <c r="I186" t="s">
        <v>1023</v>
      </c>
      <c r="J186" t="s">
        <v>1023</v>
      </c>
      <c r="K186" t="s">
        <v>1024</v>
      </c>
      <c r="L186">
        <v>14</v>
      </c>
      <c r="M186">
        <v>24</v>
      </c>
      <c r="N186">
        <v>3350000</v>
      </c>
      <c r="O186">
        <f>PropertyData[[#This Row],[Price]]/PropertyData[[#This Row],[Area_sqft]]</f>
        <v>3133.7698783910196</v>
      </c>
      <c r="P186" t="str">
        <f t="shared" si="2"/>
        <v>Budget</v>
      </c>
    </row>
    <row r="187" spans="1:16">
      <c r="A187" t="s">
        <v>199</v>
      </c>
      <c r="B187" t="s">
        <v>1016</v>
      </c>
      <c r="C187">
        <v>1147</v>
      </c>
      <c r="D187">
        <v>2</v>
      </c>
      <c r="E187">
        <v>2</v>
      </c>
      <c r="F187">
        <v>27</v>
      </c>
      <c r="G187" t="s">
        <v>1022</v>
      </c>
      <c r="H187" t="s">
        <v>1023</v>
      </c>
      <c r="I187" t="s">
        <v>1023</v>
      </c>
      <c r="J187" t="s">
        <v>1022</v>
      </c>
      <c r="K187" t="s">
        <v>1025</v>
      </c>
      <c r="L187">
        <v>19</v>
      </c>
      <c r="M187">
        <v>22</v>
      </c>
      <c r="N187">
        <v>4700000</v>
      </c>
      <c r="O187">
        <f>PropertyData[[#This Row],[Price]]/PropertyData[[#This Row],[Area_sqft]]</f>
        <v>4097.646033129904</v>
      </c>
      <c r="P187" t="str">
        <f t="shared" si="2"/>
        <v>Budget</v>
      </c>
    </row>
    <row r="188" spans="1:16">
      <c r="A188" t="s">
        <v>200</v>
      </c>
      <c r="B188" t="s">
        <v>1015</v>
      </c>
      <c r="C188">
        <v>1009</v>
      </c>
      <c r="D188">
        <v>2</v>
      </c>
      <c r="E188">
        <v>2</v>
      </c>
      <c r="F188">
        <v>0</v>
      </c>
      <c r="G188" t="s">
        <v>1022</v>
      </c>
      <c r="H188" t="s">
        <v>1022</v>
      </c>
      <c r="I188" t="s">
        <v>1023</v>
      </c>
      <c r="J188" t="s">
        <v>1022</v>
      </c>
      <c r="K188" t="s">
        <v>1025</v>
      </c>
      <c r="L188">
        <v>14</v>
      </c>
      <c r="M188">
        <v>22</v>
      </c>
      <c r="N188">
        <v>3850000</v>
      </c>
      <c r="O188">
        <f>PropertyData[[#This Row],[Price]]/PropertyData[[#This Row],[Area_sqft]]</f>
        <v>3815.6590683845393</v>
      </c>
      <c r="P188" t="str">
        <f t="shared" si="2"/>
        <v>Budget</v>
      </c>
    </row>
    <row r="189" spans="1:16">
      <c r="A189" t="s">
        <v>201</v>
      </c>
      <c r="B189" t="s">
        <v>1016</v>
      </c>
      <c r="C189">
        <v>1921</v>
      </c>
      <c r="D189">
        <v>4</v>
      </c>
      <c r="E189">
        <v>4</v>
      </c>
      <c r="F189">
        <v>8</v>
      </c>
      <c r="G189" t="s">
        <v>1023</v>
      </c>
      <c r="H189" t="s">
        <v>1023</v>
      </c>
      <c r="I189" t="s">
        <v>1023</v>
      </c>
      <c r="J189" t="s">
        <v>1023</v>
      </c>
      <c r="K189" t="s">
        <v>1025</v>
      </c>
      <c r="L189">
        <v>16</v>
      </c>
      <c r="M189">
        <v>18</v>
      </c>
      <c r="N189">
        <v>9200000</v>
      </c>
      <c r="O189">
        <f>PropertyData[[#This Row],[Price]]/PropertyData[[#This Row],[Area_sqft]]</f>
        <v>4789.1723060905779</v>
      </c>
      <c r="P189" t="str">
        <f t="shared" si="2"/>
        <v>Mid-Range</v>
      </c>
    </row>
    <row r="190" spans="1:16">
      <c r="A190" t="s">
        <v>202</v>
      </c>
      <c r="B190" t="s">
        <v>1021</v>
      </c>
      <c r="C190">
        <v>1583</v>
      </c>
      <c r="D190">
        <v>4</v>
      </c>
      <c r="E190">
        <v>5</v>
      </c>
      <c r="F190">
        <v>28</v>
      </c>
      <c r="G190" t="s">
        <v>1022</v>
      </c>
      <c r="H190" t="s">
        <v>1022</v>
      </c>
      <c r="I190" t="s">
        <v>1023</v>
      </c>
      <c r="J190" t="s">
        <v>1022</v>
      </c>
      <c r="K190" t="s">
        <v>1026</v>
      </c>
      <c r="L190">
        <v>1</v>
      </c>
      <c r="M190">
        <v>9</v>
      </c>
      <c r="N190">
        <v>11300000</v>
      </c>
      <c r="O190">
        <f>PropertyData[[#This Row],[Price]]/PropertyData[[#This Row],[Area_sqft]]</f>
        <v>7138.3449147188885</v>
      </c>
      <c r="P190" t="str">
        <f t="shared" si="2"/>
        <v>Premium</v>
      </c>
    </row>
    <row r="191" spans="1:16">
      <c r="A191" t="s">
        <v>203</v>
      </c>
      <c r="B191" t="s">
        <v>1017</v>
      </c>
      <c r="C191">
        <v>848</v>
      </c>
      <c r="D191">
        <v>2</v>
      </c>
      <c r="E191">
        <v>2</v>
      </c>
      <c r="F191">
        <v>18</v>
      </c>
      <c r="G191" t="s">
        <v>1023</v>
      </c>
      <c r="H191" t="s">
        <v>1022</v>
      </c>
      <c r="I191" t="s">
        <v>1023</v>
      </c>
      <c r="J191" t="s">
        <v>1022</v>
      </c>
      <c r="K191" t="s">
        <v>1024</v>
      </c>
      <c r="L191">
        <v>20</v>
      </c>
      <c r="M191">
        <v>20</v>
      </c>
      <c r="N191">
        <v>3200000</v>
      </c>
      <c r="O191">
        <f>PropertyData[[#This Row],[Price]]/PropertyData[[#This Row],[Area_sqft]]</f>
        <v>3773.5849056603774</v>
      </c>
      <c r="P191" t="str">
        <f t="shared" si="2"/>
        <v>Budget</v>
      </c>
    </row>
    <row r="192" spans="1:16">
      <c r="A192" t="s">
        <v>204</v>
      </c>
      <c r="B192" t="s">
        <v>1017</v>
      </c>
      <c r="C192">
        <v>1305</v>
      </c>
      <c r="D192">
        <v>3</v>
      </c>
      <c r="E192">
        <v>3</v>
      </c>
      <c r="F192">
        <v>12</v>
      </c>
      <c r="G192" t="s">
        <v>1023</v>
      </c>
      <c r="H192" t="s">
        <v>1022</v>
      </c>
      <c r="I192" t="s">
        <v>1023</v>
      </c>
      <c r="J192" t="s">
        <v>1022</v>
      </c>
      <c r="K192" t="s">
        <v>1024</v>
      </c>
      <c r="L192">
        <v>9</v>
      </c>
      <c r="M192">
        <v>9</v>
      </c>
      <c r="N192">
        <v>4850000</v>
      </c>
      <c r="O192">
        <f>PropertyData[[#This Row],[Price]]/PropertyData[[#This Row],[Area_sqft]]</f>
        <v>3716.4750957854408</v>
      </c>
      <c r="P192" t="str">
        <f t="shared" si="2"/>
        <v>Budget</v>
      </c>
    </row>
    <row r="193" spans="1:16">
      <c r="A193" t="s">
        <v>205</v>
      </c>
      <c r="B193" t="s">
        <v>1018</v>
      </c>
      <c r="C193">
        <v>945</v>
      </c>
      <c r="D193">
        <v>1</v>
      </c>
      <c r="E193">
        <v>1</v>
      </c>
      <c r="F193">
        <v>18</v>
      </c>
      <c r="G193" t="s">
        <v>1022</v>
      </c>
      <c r="H193" t="s">
        <v>1023</v>
      </c>
      <c r="I193" t="s">
        <v>1023</v>
      </c>
      <c r="J193" t="s">
        <v>1022</v>
      </c>
      <c r="K193" t="s">
        <v>1024</v>
      </c>
      <c r="L193">
        <v>8</v>
      </c>
      <c r="M193">
        <v>21</v>
      </c>
      <c r="N193">
        <v>4950000</v>
      </c>
      <c r="O193">
        <f>PropertyData[[#This Row],[Price]]/PropertyData[[#This Row],[Area_sqft]]</f>
        <v>5238.0952380952385</v>
      </c>
      <c r="P193" t="str">
        <f t="shared" si="2"/>
        <v>Budget</v>
      </c>
    </row>
    <row r="194" spans="1:16">
      <c r="A194" t="s">
        <v>206</v>
      </c>
      <c r="B194" t="s">
        <v>1021</v>
      </c>
      <c r="C194">
        <v>1313</v>
      </c>
      <c r="D194">
        <v>3</v>
      </c>
      <c r="E194">
        <v>2</v>
      </c>
      <c r="F194">
        <v>13</v>
      </c>
      <c r="G194" t="s">
        <v>1022</v>
      </c>
      <c r="H194" t="s">
        <v>1023</v>
      </c>
      <c r="I194" t="s">
        <v>1023</v>
      </c>
      <c r="J194" t="s">
        <v>1022</v>
      </c>
      <c r="K194" t="s">
        <v>1025</v>
      </c>
      <c r="L194">
        <v>7</v>
      </c>
      <c r="M194">
        <v>23</v>
      </c>
      <c r="N194">
        <v>7550000</v>
      </c>
      <c r="O194">
        <f>PropertyData[[#This Row],[Price]]/PropertyData[[#This Row],[Area_sqft]]</f>
        <v>5750.1904036557498</v>
      </c>
      <c r="P194" t="str">
        <f t="shared" ref="P194:P257" si="3">IF(N194&lt;5000000,"Budget",IF(N194&lt;=10000000,"Mid-Range","Premium"))</f>
        <v>Mid-Range</v>
      </c>
    </row>
    <row r="195" spans="1:16">
      <c r="A195" t="s">
        <v>207</v>
      </c>
      <c r="B195" t="s">
        <v>1018</v>
      </c>
      <c r="C195">
        <v>909</v>
      </c>
      <c r="D195">
        <v>2</v>
      </c>
      <c r="E195">
        <v>1</v>
      </c>
      <c r="F195">
        <v>8</v>
      </c>
      <c r="G195" t="s">
        <v>1023</v>
      </c>
      <c r="H195" t="s">
        <v>1022</v>
      </c>
      <c r="I195" t="s">
        <v>1023</v>
      </c>
      <c r="J195" t="s">
        <v>1022</v>
      </c>
      <c r="K195" t="s">
        <v>1025</v>
      </c>
      <c r="L195">
        <v>7</v>
      </c>
      <c r="M195">
        <v>19</v>
      </c>
      <c r="N195">
        <v>4550000</v>
      </c>
      <c r="O195">
        <f>PropertyData[[#This Row],[Price]]/PropertyData[[#This Row],[Area_sqft]]</f>
        <v>5005.5005500550051</v>
      </c>
      <c r="P195" t="str">
        <f t="shared" si="3"/>
        <v>Budget</v>
      </c>
    </row>
    <row r="196" spans="1:16">
      <c r="A196" t="s">
        <v>208</v>
      </c>
      <c r="B196" t="s">
        <v>1018</v>
      </c>
      <c r="C196">
        <v>2416</v>
      </c>
      <c r="D196">
        <v>5</v>
      </c>
      <c r="E196">
        <v>5</v>
      </c>
      <c r="F196">
        <v>7</v>
      </c>
      <c r="G196" t="s">
        <v>1023</v>
      </c>
      <c r="H196" t="s">
        <v>1023</v>
      </c>
      <c r="I196" t="s">
        <v>1023</v>
      </c>
      <c r="J196" t="s">
        <v>1022</v>
      </c>
      <c r="K196" t="s">
        <v>1024</v>
      </c>
      <c r="L196">
        <v>13</v>
      </c>
      <c r="M196">
        <v>22</v>
      </c>
      <c r="N196">
        <v>12400000</v>
      </c>
      <c r="O196">
        <f>PropertyData[[#This Row],[Price]]/PropertyData[[#This Row],[Area_sqft]]</f>
        <v>5132.4503311258277</v>
      </c>
      <c r="P196" t="str">
        <f t="shared" si="3"/>
        <v>Premium</v>
      </c>
    </row>
    <row r="197" spans="1:16">
      <c r="A197" t="s">
        <v>209</v>
      </c>
      <c r="B197" t="s">
        <v>1014</v>
      </c>
      <c r="C197">
        <v>1263</v>
      </c>
      <c r="D197">
        <v>3</v>
      </c>
      <c r="E197">
        <v>2</v>
      </c>
      <c r="F197">
        <v>12</v>
      </c>
      <c r="G197" t="s">
        <v>1023</v>
      </c>
      <c r="H197" t="s">
        <v>1022</v>
      </c>
      <c r="I197" t="s">
        <v>1023</v>
      </c>
      <c r="J197" t="s">
        <v>1022</v>
      </c>
      <c r="K197" t="s">
        <v>1026</v>
      </c>
      <c r="L197">
        <v>4</v>
      </c>
      <c r="M197">
        <v>4</v>
      </c>
      <c r="N197">
        <v>11600000</v>
      </c>
      <c r="O197">
        <f>PropertyData[[#This Row],[Price]]/PropertyData[[#This Row],[Area_sqft]]</f>
        <v>9184.4813935075217</v>
      </c>
      <c r="P197" t="str">
        <f t="shared" si="3"/>
        <v>Premium</v>
      </c>
    </row>
    <row r="198" spans="1:16">
      <c r="A198" t="s">
        <v>210</v>
      </c>
      <c r="B198" t="s">
        <v>1014</v>
      </c>
      <c r="C198">
        <v>1215</v>
      </c>
      <c r="D198">
        <v>2</v>
      </c>
      <c r="E198">
        <v>2</v>
      </c>
      <c r="F198">
        <v>11</v>
      </c>
      <c r="G198" t="s">
        <v>1022</v>
      </c>
      <c r="H198" t="s">
        <v>1022</v>
      </c>
      <c r="I198" t="s">
        <v>1023</v>
      </c>
      <c r="J198" t="s">
        <v>1022</v>
      </c>
      <c r="K198" t="s">
        <v>1024</v>
      </c>
      <c r="L198">
        <v>9</v>
      </c>
      <c r="M198">
        <v>18</v>
      </c>
      <c r="N198">
        <v>9650000</v>
      </c>
      <c r="O198">
        <f>PropertyData[[#This Row],[Price]]/PropertyData[[#This Row],[Area_sqft]]</f>
        <v>7942.3868312757204</v>
      </c>
      <c r="P198" t="str">
        <f t="shared" si="3"/>
        <v>Mid-Range</v>
      </c>
    </row>
    <row r="199" spans="1:16">
      <c r="A199" t="s">
        <v>211</v>
      </c>
      <c r="B199" t="s">
        <v>1019</v>
      </c>
      <c r="C199">
        <v>1295</v>
      </c>
      <c r="D199">
        <v>3</v>
      </c>
      <c r="E199">
        <v>3</v>
      </c>
      <c r="F199">
        <v>5</v>
      </c>
      <c r="G199" t="s">
        <v>1022</v>
      </c>
      <c r="H199" t="s">
        <v>1023</v>
      </c>
      <c r="I199" t="s">
        <v>1022</v>
      </c>
      <c r="J199" t="s">
        <v>1022</v>
      </c>
      <c r="K199" t="s">
        <v>1026</v>
      </c>
      <c r="L199">
        <v>8</v>
      </c>
      <c r="M199">
        <v>9</v>
      </c>
      <c r="N199">
        <v>14500000</v>
      </c>
      <c r="O199">
        <f>PropertyData[[#This Row],[Price]]/PropertyData[[#This Row],[Area_sqft]]</f>
        <v>11196.911196911196</v>
      </c>
      <c r="P199" t="str">
        <f t="shared" si="3"/>
        <v>Premium</v>
      </c>
    </row>
    <row r="200" spans="1:16">
      <c r="A200" t="s">
        <v>212</v>
      </c>
      <c r="B200" t="s">
        <v>1020</v>
      </c>
      <c r="C200">
        <v>1832</v>
      </c>
      <c r="D200">
        <v>3</v>
      </c>
      <c r="E200">
        <v>3</v>
      </c>
      <c r="F200">
        <v>25</v>
      </c>
      <c r="G200" t="s">
        <v>1023</v>
      </c>
      <c r="H200" t="s">
        <v>1023</v>
      </c>
      <c r="I200" t="s">
        <v>1022</v>
      </c>
      <c r="J200" t="s">
        <v>1022</v>
      </c>
      <c r="K200" t="s">
        <v>1024</v>
      </c>
      <c r="L200">
        <v>6</v>
      </c>
      <c r="M200">
        <v>16</v>
      </c>
      <c r="N200">
        <v>11200000</v>
      </c>
      <c r="O200">
        <f>PropertyData[[#This Row],[Price]]/PropertyData[[#This Row],[Area_sqft]]</f>
        <v>6113.5371179039303</v>
      </c>
      <c r="P200" t="str">
        <f t="shared" si="3"/>
        <v>Premium</v>
      </c>
    </row>
    <row r="201" spans="1:16">
      <c r="A201" t="s">
        <v>213</v>
      </c>
      <c r="B201" t="s">
        <v>1019</v>
      </c>
      <c r="C201">
        <v>980</v>
      </c>
      <c r="D201">
        <v>1</v>
      </c>
      <c r="E201">
        <v>1</v>
      </c>
      <c r="F201">
        <v>27</v>
      </c>
      <c r="G201" t="s">
        <v>1022</v>
      </c>
      <c r="H201" t="s">
        <v>1022</v>
      </c>
      <c r="I201" t="s">
        <v>1023</v>
      </c>
      <c r="J201" t="s">
        <v>1022</v>
      </c>
      <c r="K201" t="s">
        <v>1025</v>
      </c>
      <c r="L201">
        <v>9</v>
      </c>
      <c r="M201">
        <v>23</v>
      </c>
      <c r="N201">
        <v>6350000</v>
      </c>
      <c r="O201">
        <f>PropertyData[[#This Row],[Price]]/PropertyData[[#This Row],[Area_sqft]]</f>
        <v>6479.591836734694</v>
      </c>
      <c r="P201" t="str">
        <f t="shared" si="3"/>
        <v>Mid-Range</v>
      </c>
    </row>
    <row r="202" spans="1:16">
      <c r="A202" t="s">
        <v>214</v>
      </c>
      <c r="B202" t="s">
        <v>1014</v>
      </c>
      <c r="C202">
        <v>1300</v>
      </c>
      <c r="D202">
        <v>3</v>
      </c>
      <c r="E202">
        <v>3</v>
      </c>
      <c r="F202">
        <v>27</v>
      </c>
      <c r="G202" t="s">
        <v>1022</v>
      </c>
      <c r="H202" t="s">
        <v>1022</v>
      </c>
      <c r="I202" t="s">
        <v>1022</v>
      </c>
      <c r="J202" t="s">
        <v>1022</v>
      </c>
      <c r="K202" t="s">
        <v>1025</v>
      </c>
      <c r="L202">
        <v>4</v>
      </c>
      <c r="M202">
        <v>8</v>
      </c>
      <c r="N202">
        <v>8250000</v>
      </c>
      <c r="O202">
        <f>PropertyData[[#This Row],[Price]]/PropertyData[[#This Row],[Area_sqft]]</f>
        <v>6346.1538461538457</v>
      </c>
      <c r="P202" t="str">
        <f t="shared" si="3"/>
        <v>Mid-Range</v>
      </c>
    </row>
    <row r="203" spans="1:16">
      <c r="A203" t="s">
        <v>215</v>
      </c>
      <c r="B203" t="s">
        <v>1018</v>
      </c>
      <c r="C203">
        <v>1758</v>
      </c>
      <c r="D203">
        <v>4</v>
      </c>
      <c r="E203">
        <v>4</v>
      </c>
      <c r="F203">
        <v>27</v>
      </c>
      <c r="G203" t="s">
        <v>1022</v>
      </c>
      <c r="H203" t="s">
        <v>1022</v>
      </c>
      <c r="I203" t="s">
        <v>1023</v>
      </c>
      <c r="J203" t="s">
        <v>1022</v>
      </c>
      <c r="K203" t="s">
        <v>1024</v>
      </c>
      <c r="L203">
        <v>17</v>
      </c>
      <c r="M203">
        <v>22</v>
      </c>
      <c r="N203">
        <v>8700000</v>
      </c>
      <c r="O203">
        <f>PropertyData[[#This Row],[Price]]/PropertyData[[#This Row],[Area_sqft]]</f>
        <v>4948.8054607508529</v>
      </c>
      <c r="P203" t="str">
        <f t="shared" si="3"/>
        <v>Mid-Range</v>
      </c>
    </row>
    <row r="204" spans="1:16">
      <c r="A204" t="s">
        <v>216</v>
      </c>
      <c r="B204" t="s">
        <v>1018</v>
      </c>
      <c r="C204">
        <v>1322</v>
      </c>
      <c r="D204">
        <v>2</v>
      </c>
      <c r="E204">
        <v>2</v>
      </c>
      <c r="F204">
        <v>30</v>
      </c>
      <c r="G204" t="s">
        <v>1022</v>
      </c>
      <c r="H204" t="s">
        <v>1022</v>
      </c>
      <c r="I204" t="s">
        <v>1023</v>
      </c>
      <c r="J204" t="s">
        <v>1022</v>
      </c>
      <c r="K204" t="s">
        <v>1024</v>
      </c>
      <c r="L204">
        <v>3</v>
      </c>
      <c r="M204">
        <v>13</v>
      </c>
      <c r="N204">
        <v>7450000</v>
      </c>
      <c r="O204">
        <f>PropertyData[[#This Row],[Price]]/PropertyData[[#This Row],[Area_sqft]]</f>
        <v>5635.4009077155824</v>
      </c>
      <c r="P204" t="str">
        <f t="shared" si="3"/>
        <v>Mid-Range</v>
      </c>
    </row>
    <row r="205" spans="1:16">
      <c r="A205" t="s">
        <v>217</v>
      </c>
      <c r="B205" t="s">
        <v>1017</v>
      </c>
      <c r="C205">
        <v>602</v>
      </c>
      <c r="D205">
        <v>1</v>
      </c>
      <c r="E205">
        <v>1</v>
      </c>
      <c r="F205">
        <v>17</v>
      </c>
      <c r="G205" t="s">
        <v>1022</v>
      </c>
      <c r="H205" t="s">
        <v>1022</v>
      </c>
      <c r="I205" t="s">
        <v>1023</v>
      </c>
      <c r="J205" t="s">
        <v>1022</v>
      </c>
      <c r="K205" t="s">
        <v>1025</v>
      </c>
      <c r="L205">
        <v>5</v>
      </c>
      <c r="M205">
        <v>14</v>
      </c>
      <c r="N205">
        <v>2100000</v>
      </c>
      <c r="O205">
        <f>PropertyData[[#This Row],[Price]]/PropertyData[[#This Row],[Area_sqft]]</f>
        <v>3488.3720930232557</v>
      </c>
      <c r="P205" t="str">
        <f t="shared" si="3"/>
        <v>Budget</v>
      </c>
    </row>
    <row r="206" spans="1:16">
      <c r="A206" t="s">
        <v>218</v>
      </c>
      <c r="B206" t="s">
        <v>1016</v>
      </c>
      <c r="C206">
        <v>1752</v>
      </c>
      <c r="D206">
        <v>4</v>
      </c>
      <c r="E206">
        <v>4</v>
      </c>
      <c r="F206">
        <v>28</v>
      </c>
      <c r="G206" t="s">
        <v>1022</v>
      </c>
      <c r="H206" t="s">
        <v>1023</v>
      </c>
      <c r="I206" t="s">
        <v>1023</v>
      </c>
      <c r="J206" t="s">
        <v>1022</v>
      </c>
      <c r="K206" t="s">
        <v>1025</v>
      </c>
      <c r="L206">
        <v>16</v>
      </c>
      <c r="M206">
        <v>21</v>
      </c>
      <c r="N206">
        <v>6750000</v>
      </c>
      <c r="O206">
        <f>PropertyData[[#This Row],[Price]]/PropertyData[[#This Row],[Area_sqft]]</f>
        <v>3852.7397260273974</v>
      </c>
      <c r="P206" t="str">
        <f t="shared" si="3"/>
        <v>Mid-Range</v>
      </c>
    </row>
    <row r="207" spans="1:16">
      <c r="A207" t="s">
        <v>219</v>
      </c>
      <c r="B207" t="s">
        <v>1016</v>
      </c>
      <c r="C207">
        <v>1633</v>
      </c>
      <c r="D207">
        <v>3</v>
      </c>
      <c r="E207">
        <v>4</v>
      </c>
      <c r="F207">
        <v>26</v>
      </c>
      <c r="G207" t="s">
        <v>1023</v>
      </c>
      <c r="H207" t="s">
        <v>1022</v>
      </c>
      <c r="I207" t="s">
        <v>1023</v>
      </c>
      <c r="J207" t="s">
        <v>1022</v>
      </c>
      <c r="K207" t="s">
        <v>1026</v>
      </c>
      <c r="L207">
        <v>17</v>
      </c>
      <c r="M207">
        <v>21</v>
      </c>
      <c r="N207">
        <v>8800000</v>
      </c>
      <c r="O207">
        <f>PropertyData[[#This Row],[Price]]/PropertyData[[#This Row],[Area_sqft]]</f>
        <v>5388.8548683404779</v>
      </c>
      <c r="P207" t="str">
        <f t="shared" si="3"/>
        <v>Mid-Range</v>
      </c>
    </row>
    <row r="208" spans="1:16">
      <c r="A208" t="s">
        <v>220</v>
      </c>
      <c r="B208" t="s">
        <v>1015</v>
      </c>
      <c r="C208">
        <v>693</v>
      </c>
      <c r="D208">
        <v>2</v>
      </c>
      <c r="E208">
        <v>2</v>
      </c>
      <c r="F208">
        <v>27</v>
      </c>
      <c r="G208" t="s">
        <v>1022</v>
      </c>
      <c r="H208" t="s">
        <v>1023</v>
      </c>
      <c r="I208" t="s">
        <v>1022</v>
      </c>
      <c r="J208" t="s">
        <v>1023</v>
      </c>
      <c r="K208" t="s">
        <v>1024</v>
      </c>
      <c r="L208">
        <v>4</v>
      </c>
      <c r="M208">
        <v>22</v>
      </c>
      <c r="N208">
        <v>2500000</v>
      </c>
      <c r="O208">
        <f>PropertyData[[#This Row],[Price]]/PropertyData[[#This Row],[Area_sqft]]</f>
        <v>3607.5036075036073</v>
      </c>
      <c r="P208" t="str">
        <f t="shared" si="3"/>
        <v>Budget</v>
      </c>
    </row>
    <row r="209" spans="1:16">
      <c r="A209" t="s">
        <v>221</v>
      </c>
      <c r="B209" t="s">
        <v>1017</v>
      </c>
      <c r="C209">
        <v>1715</v>
      </c>
      <c r="D209">
        <v>4</v>
      </c>
      <c r="E209">
        <v>3</v>
      </c>
      <c r="F209">
        <v>6</v>
      </c>
      <c r="G209" t="s">
        <v>1022</v>
      </c>
      <c r="H209" t="s">
        <v>1022</v>
      </c>
      <c r="I209" t="s">
        <v>1023</v>
      </c>
      <c r="J209" t="s">
        <v>1022</v>
      </c>
      <c r="K209" t="s">
        <v>1026</v>
      </c>
      <c r="L209">
        <v>19</v>
      </c>
      <c r="M209">
        <v>21</v>
      </c>
      <c r="N209">
        <v>10300000</v>
      </c>
      <c r="O209">
        <f>PropertyData[[#This Row],[Price]]/PropertyData[[#This Row],[Area_sqft]]</f>
        <v>6005.8309037900872</v>
      </c>
      <c r="P209" t="str">
        <f t="shared" si="3"/>
        <v>Premium</v>
      </c>
    </row>
    <row r="210" spans="1:16">
      <c r="A210" t="s">
        <v>222</v>
      </c>
      <c r="B210" t="s">
        <v>1017</v>
      </c>
      <c r="C210">
        <v>927</v>
      </c>
      <c r="D210">
        <v>2</v>
      </c>
      <c r="E210">
        <v>2</v>
      </c>
      <c r="F210">
        <v>23</v>
      </c>
      <c r="G210" t="s">
        <v>1022</v>
      </c>
      <c r="H210" t="s">
        <v>1023</v>
      </c>
      <c r="I210" t="s">
        <v>1023</v>
      </c>
      <c r="J210" t="s">
        <v>1022</v>
      </c>
      <c r="K210" t="s">
        <v>1025</v>
      </c>
      <c r="L210">
        <v>19</v>
      </c>
      <c r="M210">
        <v>20</v>
      </c>
      <c r="N210">
        <v>2950000</v>
      </c>
      <c r="O210">
        <f>PropertyData[[#This Row],[Price]]/PropertyData[[#This Row],[Area_sqft]]</f>
        <v>3182.3085221143474</v>
      </c>
      <c r="P210" t="str">
        <f t="shared" si="3"/>
        <v>Budget</v>
      </c>
    </row>
    <row r="211" spans="1:16">
      <c r="A211" t="s">
        <v>223</v>
      </c>
      <c r="B211" t="s">
        <v>1018</v>
      </c>
      <c r="C211">
        <v>1935</v>
      </c>
      <c r="D211">
        <v>3</v>
      </c>
      <c r="E211">
        <v>3</v>
      </c>
      <c r="F211">
        <v>29</v>
      </c>
      <c r="G211" t="s">
        <v>1023</v>
      </c>
      <c r="H211" t="s">
        <v>1022</v>
      </c>
      <c r="I211" t="s">
        <v>1023</v>
      </c>
      <c r="J211" t="s">
        <v>1022</v>
      </c>
      <c r="K211" t="s">
        <v>1025</v>
      </c>
      <c r="L211">
        <v>18</v>
      </c>
      <c r="M211">
        <v>18</v>
      </c>
      <c r="N211">
        <v>7300000</v>
      </c>
      <c r="O211">
        <f>PropertyData[[#This Row],[Price]]/PropertyData[[#This Row],[Area_sqft]]</f>
        <v>3772.6098191214469</v>
      </c>
      <c r="P211" t="str">
        <f t="shared" si="3"/>
        <v>Mid-Range</v>
      </c>
    </row>
    <row r="212" spans="1:16">
      <c r="A212" t="s">
        <v>224</v>
      </c>
      <c r="B212" t="s">
        <v>1021</v>
      </c>
      <c r="C212">
        <v>1443</v>
      </c>
      <c r="D212">
        <v>3</v>
      </c>
      <c r="E212">
        <v>3</v>
      </c>
      <c r="F212">
        <v>3</v>
      </c>
      <c r="G212" t="s">
        <v>1023</v>
      </c>
      <c r="H212" t="s">
        <v>1022</v>
      </c>
      <c r="I212" t="s">
        <v>1023</v>
      </c>
      <c r="J212" t="s">
        <v>1022</v>
      </c>
      <c r="K212" t="s">
        <v>1026</v>
      </c>
      <c r="L212">
        <v>13</v>
      </c>
      <c r="M212">
        <v>13</v>
      </c>
      <c r="N212">
        <v>12900000</v>
      </c>
      <c r="O212">
        <f>PropertyData[[#This Row],[Price]]/PropertyData[[#This Row],[Area_sqft]]</f>
        <v>8939.7089397089403</v>
      </c>
      <c r="P212" t="str">
        <f t="shared" si="3"/>
        <v>Premium</v>
      </c>
    </row>
    <row r="213" spans="1:16">
      <c r="A213" t="s">
        <v>225</v>
      </c>
      <c r="B213" t="s">
        <v>1020</v>
      </c>
      <c r="C213">
        <v>1551</v>
      </c>
      <c r="D213">
        <v>4</v>
      </c>
      <c r="E213">
        <v>4</v>
      </c>
      <c r="F213">
        <v>4</v>
      </c>
      <c r="G213" t="s">
        <v>1022</v>
      </c>
      <c r="H213" t="s">
        <v>1023</v>
      </c>
      <c r="I213" t="s">
        <v>1023</v>
      </c>
      <c r="J213" t="s">
        <v>1022</v>
      </c>
      <c r="K213" t="s">
        <v>1024</v>
      </c>
      <c r="L213">
        <v>11</v>
      </c>
      <c r="M213">
        <v>13</v>
      </c>
      <c r="N213">
        <v>10800000</v>
      </c>
      <c r="O213">
        <f>PropertyData[[#This Row],[Price]]/PropertyData[[#This Row],[Area_sqft]]</f>
        <v>6963.2495164410057</v>
      </c>
      <c r="P213" t="str">
        <f t="shared" si="3"/>
        <v>Premium</v>
      </c>
    </row>
    <row r="214" spans="1:16">
      <c r="A214" t="s">
        <v>226</v>
      </c>
      <c r="B214" t="s">
        <v>1015</v>
      </c>
      <c r="C214">
        <v>1556</v>
      </c>
      <c r="D214">
        <v>3</v>
      </c>
      <c r="E214">
        <v>4</v>
      </c>
      <c r="F214">
        <v>23</v>
      </c>
      <c r="G214" t="s">
        <v>1022</v>
      </c>
      <c r="H214" t="s">
        <v>1022</v>
      </c>
      <c r="I214" t="s">
        <v>1023</v>
      </c>
      <c r="J214" t="s">
        <v>1023</v>
      </c>
      <c r="K214" t="s">
        <v>1025</v>
      </c>
      <c r="L214">
        <v>18</v>
      </c>
      <c r="M214">
        <v>19</v>
      </c>
      <c r="N214">
        <v>4550000</v>
      </c>
      <c r="O214">
        <f>PropertyData[[#This Row],[Price]]/PropertyData[[#This Row],[Area_sqft]]</f>
        <v>2924.1645244215938</v>
      </c>
      <c r="P214" t="str">
        <f t="shared" si="3"/>
        <v>Budget</v>
      </c>
    </row>
    <row r="215" spans="1:16">
      <c r="A215" t="s">
        <v>227</v>
      </c>
      <c r="B215" t="s">
        <v>1020</v>
      </c>
      <c r="C215">
        <v>930</v>
      </c>
      <c r="D215">
        <v>1</v>
      </c>
      <c r="E215">
        <v>1</v>
      </c>
      <c r="F215">
        <v>0</v>
      </c>
      <c r="G215" t="s">
        <v>1022</v>
      </c>
      <c r="H215" t="s">
        <v>1022</v>
      </c>
      <c r="I215" t="s">
        <v>1023</v>
      </c>
      <c r="J215" t="s">
        <v>1023</v>
      </c>
      <c r="K215" t="s">
        <v>1025</v>
      </c>
      <c r="L215">
        <v>9</v>
      </c>
      <c r="M215">
        <v>23</v>
      </c>
      <c r="N215">
        <v>6850000</v>
      </c>
      <c r="O215">
        <f>PropertyData[[#This Row],[Price]]/PropertyData[[#This Row],[Area_sqft]]</f>
        <v>7365.5913978494627</v>
      </c>
      <c r="P215" t="str">
        <f t="shared" si="3"/>
        <v>Mid-Range</v>
      </c>
    </row>
    <row r="216" spans="1:16">
      <c r="A216" t="s">
        <v>228</v>
      </c>
      <c r="B216" t="s">
        <v>1020</v>
      </c>
      <c r="C216">
        <v>1177</v>
      </c>
      <c r="D216">
        <v>3</v>
      </c>
      <c r="E216">
        <v>2</v>
      </c>
      <c r="F216">
        <v>3</v>
      </c>
      <c r="G216" t="s">
        <v>1022</v>
      </c>
      <c r="H216" t="s">
        <v>1022</v>
      </c>
      <c r="I216" t="s">
        <v>1023</v>
      </c>
      <c r="J216" t="s">
        <v>1022</v>
      </c>
      <c r="K216" t="s">
        <v>1024</v>
      </c>
      <c r="L216">
        <v>13</v>
      </c>
      <c r="M216">
        <v>14</v>
      </c>
      <c r="N216">
        <v>10000000</v>
      </c>
      <c r="O216">
        <f>PropertyData[[#This Row],[Price]]/PropertyData[[#This Row],[Area_sqft]]</f>
        <v>8496.1767204757853</v>
      </c>
      <c r="P216" t="str">
        <f t="shared" si="3"/>
        <v>Mid-Range</v>
      </c>
    </row>
    <row r="217" spans="1:16">
      <c r="A217" t="s">
        <v>229</v>
      </c>
      <c r="B217" t="s">
        <v>1017</v>
      </c>
      <c r="C217">
        <v>1350</v>
      </c>
      <c r="D217">
        <v>3</v>
      </c>
      <c r="E217">
        <v>3</v>
      </c>
      <c r="F217">
        <v>9</v>
      </c>
      <c r="G217" t="s">
        <v>1022</v>
      </c>
      <c r="H217" t="s">
        <v>1022</v>
      </c>
      <c r="I217" t="s">
        <v>1022</v>
      </c>
      <c r="J217" t="s">
        <v>1022</v>
      </c>
      <c r="K217" t="s">
        <v>1026</v>
      </c>
      <c r="L217">
        <v>15</v>
      </c>
      <c r="M217">
        <v>16</v>
      </c>
      <c r="N217">
        <v>7350000</v>
      </c>
      <c r="O217">
        <f>PropertyData[[#This Row],[Price]]/PropertyData[[#This Row],[Area_sqft]]</f>
        <v>5444.4444444444443</v>
      </c>
      <c r="P217" t="str">
        <f t="shared" si="3"/>
        <v>Mid-Range</v>
      </c>
    </row>
    <row r="218" spans="1:16">
      <c r="A218" t="s">
        <v>230</v>
      </c>
      <c r="B218" t="s">
        <v>1014</v>
      </c>
      <c r="C218">
        <v>1060</v>
      </c>
      <c r="D218">
        <v>2</v>
      </c>
      <c r="E218">
        <v>2</v>
      </c>
      <c r="F218">
        <v>6</v>
      </c>
      <c r="G218" t="s">
        <v>1022</v>
      </c>
      <c r="H218" t="s">
        <v>1023</v>
      </c>
      <c r="I218" t="s">
        <v>1023</v>
      </c>
      <c r="J218" t="s">
        <v>1022</v>
      </c>
      <c r="K218" t="s">
        <v>1025</v>
      </c>
      <c r="L218">
        <v>19</v>
      </c>
      <c r="M218">
        <v>19</v>
      </c>
      <c r="N218">
        <v>7250000</v>
      </c>
      <c r="O218">
        <f>PropertyData[[#This Row],[Price]]/PropertyData[[#This Row],[Area_sqft]]</f>
        <v>6839.6226415094343</v>
      </c>
      <c r="P218" t="str">
        <f t="shared" si="3"/>
        <v>Mid-Range</v>
      </c>
    </row>
    <row r="219" spans="1:16">
      <c r="A219" t="s">
        <v>231</v>
      </c>
      <c r="B219" t="s">
        <v>1020</v>
      </c>
      <c r="C219">
        <v>2074</v>
      </c>
      <c r="D219">
        <v>4</v>
      </c>
      <c r="E219">
        <v>4</v>
      </c>
      <c r="F219">
        <v>19</v>
      </c>
      <c r="G219" t="s">
        <v>1022</v>
      </c>
      <c r="H219" t="s">
        <v>1022</v>
      </c>
      <c r="I219" t="s">
        <v>1023</v>
      </c>
      <c r="J219" t="s">
        <v>1022</v>
      </c>
      <c r="K219" t="s">
        <v>1025</v>
      </c>
      <c r="L219">
        <v>15</v>
      </c>
      <c r="M219">
        <v>20</v>
      </c>
      <c r="N219">
        <v>13900000</v>
      </c>
      <c r="O219">
        <f>PropertyData[[#This Row],[Price]]/PropertyData[[#This Row],[Area_sqft]]</f>
        <v>6702.0250723240115</v>
      </c>
      <c r="P219" t="str">
        <f t="shared" si="3"/>
        <v>Premium</v>
      </c>
    </row>
    <row r="220" spans="1:16">
      <c r="A220" t="s">
        <v>232</v>
      </c>
      <c r="B220" t="s">
        <v>1015</v>
      </c>
      <c r="C220">
        <v>847</v>
      </c>
      <c r="D220">
        <v>2</v>
      </c>
      <c r="E220">
        <v>2</v>
      </c>
      <c r="F220">
        <v>1</v>
      </c>
      <c r="G220" t="s">
        <v>1022</v>
      </c>
      <c r="H220" t="s">
        <v>1023</v>
      </c>
      <c r="I220" t="s">
        <v>1022</v>
      </c>
      <c r="J220" t="s">
        <v>1022</v>
      </c>
      <c r="K220" t="s">
        <v>1025</v>
      </c>
      <c r="L220">
        <v>15</v>
      </c>
      <c r="M220">
        <v>23</v>
      </c>
      <c r="N220">
        <v>3300000</v>
      </c>
      <c r="O220">
        <f>PropertyData[[#This Row],[Price]]/PropertyData[[#This Row],[Area_sqft]]</f>
        <v>3896.1038961038962</v>
      </c>
      <c r="P220" t="str">
        <f t="shared" si="3"/>
        <v>Budget</v>
      </c>
    </row>
    <row r="221" spans="1:16">
      <c r="A221" t="s">
        <v>233</v>
      </c>
      <c r="B221" t="s">
        <v>1014</v>
      </c>
      <c r="C221">
        <v>1521</v>
      </c>
      <c r="D221">
        <v>3</v>
      </c>
      <c r="E221">
        <v>3</v>
      </c>
      <c r="F221">
        <v>22</v>
      </c>
      <c r="G221" t="s">
        <v>1022</v>
      </c>
      <c r="H221" t="s">
        <v>1022</v>
      </c>
      <c r="I221" t="s">
        <v>1023</v>
      </c>
      <c r="J221" t="s">
        <v>1023</v>
      </c>
      <c r="K221" t="s">
        <v>1025</v>
      </c>
      <c r="L221">
        <v>11</v>
      </c>
      <c r="M221">
        <v>19</v>
      </c>
      <c r="N221">
        <v>8700000</v>
      </c>
      <c r="O221">
        <f>PropertyData[[#This Row],[Price]]/PropertyData[[#This Row],[Area_sqft]]</f>
        <v>5719.9211045364891</v>
      </c>
      <c r="P221" t="str">
        <f t="shared" si="3"/>
        <v>Mid-Range</v>
      </c>
    </row>
    <row r="222" spans="1:16">
      <c r="A222" t="s">
        <v>234</v>
      </c>
      <c r="B222" t="s">
        <v>1020</v>
      </c>
      <c r="C222">
        <v>1534</v>
      </c>
      <c r="D222">
        <v>3</v>
      </c>
      <c r="E222">
        <v>3</v>
      </c>
      <c r="F222">
        <v>14</v>
      </c>
      <c r="G222" t="s">
        <v>1023</v>
      </c>
      <c r="H222" t="s">
        <v>1022</v>
      </c>
      <c r="I222" t="s">
        <v>1023</v>
      </c>
      <c r="J222" t="s">
        <v>1023</v>
      </c>
      <c r="K222" t="s">
        <v>1025</v>
      </c>
      <c r="L222">
        <v>19</v>
      </c>
      <c r="M222">
        <v>23</v>
      </c>
      <c r="N222">
        <v>8750000</v>
      </c>
      <c r="O222">
        <f>PropertyData[[#This Row],[Price]]/PropertyData[[#This Row],[Area_sqft]]</f>
        <v>5704.0417209908737</v>
      </c>
      <c r="P222" t="str">
        <f t="shared" si="3"/>
        <v>Mid-Range</v>
      </c>
    </row>
    <row r="223" spans="1:16">
      <c r="A223" t="s">
        <v>235</v>
      </c>
      <c r="B223" t="s">
        <v>1020</v>
      </c>
      <c r="C223">
        <v>1198</v>
      </c>
      <c r="D223">
        <v>3</v>
      </c>
      <c r="E223">
        <v>2</v>
      </c>
      <c r="F223">
        <v>20</v>
      </c>
      <c r="G223" t="s">
        <v>1022</v>
      </c>
      <c r="H223" t="s">
        <v>1023</v>
      </c>
      <c r="I223" t="s">
        <v>1023</v>
      </c>
      <c r="J223" t="s">
        <v>1022</v>
      </c>
      <c r="K223" t="s">
        <v>1024</v>
      </c>
      <c r="L223">
        <v>17</v>
      </c>
      <c r="M223">
        <v>20</v>
      </c>
      <c r="N223">
        <v>8050000</v>
      </c>
      <c r="O223">
        <f>PropertyData[[#This Row],[Price]]/PropertyData[[#This Row],[Area_sqft]]</f>
        <v>6719.5325542570954</v>
      </c>
      <c r="P223" t="str">
        <f t="shared" si="3"/>
        <v>Mid-Range</v>
      </c>
    </row>
    <row r="224" spans="1:16">
      <c r="A224" t="s">
        <v>236</v>
      </c>
      <c r="B224" t="s">
        <v>1014</v>
      </c>
      <c r="C224">
        <v>1160</v>
      </c>
      <c r="D224">
        <v>2</v>
      </c>
      <c r="E224">
        <v>2</v>
      </c>
      <c r="F224">
        <v>9</v>
      </c>
      <c r="G224" t="s">
        <v>1022</v>
      </c>
      <c r="H224" t="s">
        <v>1022</v>
      </c>
      <c r="I224" t="s">
        <v>1023</v>
      </c>
      <c r="J224" t="s">
        <v>1023</v>
      </c>
      <c r="K224" t="s">
        <v>1026</v>
      </c>
      <c r="L224">
        <v>3</v>
      </c>
      <c r="M224">
        <v>17</v>
      </c>
      <c r="N224">
        <v>12050000</v>
      </c>
      <c r="O224">
        <f>PropertyData[[#This Row],[Price]]/PropertyData[[#This Row],[Area_sqft]]</f>
        <v>10387.931034482759</v>
      </c>
      <c r="P224" t="str">
        <f t="shared" si="3"/>
        <v>Premium</v>
      </c>
    </row>
    <row r="225" spans="1:16">
      <c r="A225" t="s">
        <v>237</v>
      </c>
      <c r="B225" t="s">
        <v>1018</v>
      </c>
      <c r="C225">
        <v>1089</v>
      </c>
      <c r="D225">
        <v>2</v>
      </c>
      <c r="E225">
        <v>2</v>
      </c>
      <c r="F225">
        <v>3</v>
      </c>
      <c r="G225" t="s">
        <v>1023</v>
      </c>
      <c r="H225" t="s">
        <v>1022</v>
      </c>
      <c r="I225" t="s">
        <v>1023</v>
      </c>
      <c r="J225" t="s">
        <v>1022</v>
      </c>
      <c r="K225" t="s">
        <v>1025</v>
      </c>
      <c r="L225">
        <v>1</v>
      </c>
      <c r="M225">
        <v>5</v>
      </c>
      <c r="N225">
        <v>5200000</v>
      </c>
      <c r="O225">
        <f>PropertyData[[#This Row],[Price]]/PropertyData[[#This Row],[Area_sqft]]</f>
        <v>4775.0229568411387</v>
      </c>
      <c r="P225" t="str">
        <f t="shared" si="3"/>
        <v>Mid-Range</v>
      </c>
    </row>
    <row r="226" spans="1:16">
      <c r="A226" t="s">
        <v>238</v>
      </c>
      <c r="B226" t="s">
        <v>1017</v>
      </c>
      <c r="C226">
        <v>867</v>
      </c>
      <c r="D226">
        <v>1</v>
      </c>
      <c r="E226">
        <v>1</v>
      </c>
      <c r="F226">
        <v>17</v>
      </c>
      <c r="G226" t="s">
        <v>1022</v>
      </c>
      <c r="H226" t="s">
        <v>1023</v>
      </c>
      <c r="I226" t="s">
        <v>1022</v>
      </c>
      <c r="J226" t="s">
        <v>1022</v>
      </c>
      <c r="K226" t="s">
        <v>1024</v>
      </c>
      <c r="L226">
        <v>1</v>
      </c>
      <c r="M226">
        <v>5</v>
      </c>
      <c r="N226">
        <v>3400000</v>
      </c>
      <c r="O226">
        <f>PropertyData[[#This Row],[Price]]/PropertyData[[#This Row],[Area_sqft]]</f>
        <v>3921.5686274509803</v>
      </c>
      <c r="P226" t="str">
        <f t="shared" si="3"/>
        <v>Budget</v>
      </c>
    </row>
    <row r="227" spans="1:16">
      <c r="A227" t="s">
        <v>239</v>
      </c>
      <c r="B227" t="s">
        <v>1017</v>
      </c>
      <c r="C227">
        <v>1142</v>
      </c>
      <c r="D227">
        <v>2</v>
      </c>
      <c r="E227">
        <v>1</v>
      </c>
      <c r="F227">
        <v>20</v>
      </c>
      <c r="G227" t="s">
        <v>1022</v>
      </c>
      <c r="H227" t="s">
        <v>1023</v>
      </c>
      <c r="I227" t="s">
        <v>1022</v>
      </c>
      <c r="J227" t="s">
        <v>1022</v>
      </c>
      <c r="K227" t="s">
        <v>1025</v>
      </c>
      <c r="L227">
        <v>2</v>
      </c>
      <c r="M227">
        <v>23</v>
      </c>
      <c r="N227">
        <v>4350000</v>
      </c>
      <c r="O227">
        <f>PropertyData[[#This Row],[Price]]/PropertyData[[#This Row],[Area_sqft]]</f>
        <v>3809.1068301225919</v>
      </c>
      <c r="P227" t="str">
        <f t="shared" si="3"/>
        <v>Budget</v>
      </c>
    </row>
    <row r="228" spans="1:16">
      <c r="A228" t="s">
        <v>240</v>
      </c>
      <c r="B228" t="s">
        <v>1020</v>
      </c>
      <c r="C228">
        <v>895</v>
      </c>
      <c r="D228">
        <v>2</v>
      </c>
      <c r="E228">
        <v>1</v>
      </c>
      <c r="F228">
        <v>11</v>
      </c>
      <c r="G228" t="s">
        <v>1022</v>
      </c>
      <c r="H228" t="s">
        <v>1022</v>
      </c>
      <c r="I228" t="s">
        <v>1023</v>
      </c>
      <c r="J228" t="s">
        <v>1023</v>
      </c>
      <c r="K228" t="s">
        <v>1025</v>
      </c>
      <c r="L228">
        <v>6</v>
      </c>
      <c r="M228">
        <v>6</v>
      </c>
      <c r="N228">
        <v>6300000</v>
      </c>
      <c r="O228">
        <f>PropertyData[[#This Row],[Price]]/PropertyData[[#This Row],[Area_sqft]]</f>
        <v>7039.1061452513968</v>
      </c>
      <c r="P228" t="str">
        <f t="shared" si="3"/>
        <v>Mid-Range</v>
      </c>
    </row>
    <row r="229" spans="1:16">
      <c r="A229" t="s">
        <v>241</v>
      </c>
      <c r="B229" t="s">
        <v>1016</v>
      </c>
      <c r="C229">
        <v>1128</v>
      </c>
      <c r="D229">
        <v>2</v>
      </c>
      <c r="E229">
        <v>1</v>
      </c>
      <c r="F229">
        <v>26</v>
      </c>
      <c r="G229" t="s">
        <v>1022</v>
      </c>
      <c r="H229" t="s">
        <v>1022</v>
      </c>
      <c r="I229" t="s">
        <v>1023</v>
      </c>
      <c r="J229" t="s">
        <v>1022</v>
      </c>
      <c r="K229" t="s">
        <v>1025</v>
      </c>
      <c r="L229">
        <v>5</v>
      </c>
      <c r="M229">
        <v>10</v>
      </c>
      <c r="N229">
        <v>4650000</v>
      </c>
      <c r="O229">
        <f>PropertyData[[#This Row],[Price]]/PropertyData[[#This Row],[Area_sqft]]</f>
        <v>4122.3404255319147</v>
      </c>
      <c r="P229" t="str">
        <f t="shared" si="3"/>
        <v>Budget</v>
      </c>
    </row>
    <row r="230" spans="1:16">
      <c r="A230" t="s">
        <v>242</v>
      </c>
      <c r="B230" t="s">
        <v>1014</v>
      </c>
      <c r="C230">
        <v>897</v>
      </c>
      <c r="D230">
        <v>2</v>
      </c>
      <c r="E230">
        <v>1</v>
      </c>
      <c r="F230">
        <v>24</v>
      </c>
      <c r="G230" t="s">
        <v>1022</v>
      </c>
      <c r="H230" t="s">
        <v>1022</v>
      </c>
      <c r="I230" t="s">
        <v>1023</v>
      </c>
      <c r="J230" t="s">
        <v>1022</v>
      </c>
      <c r="K230" t="s">
        <v>1025</v>
      </c>
      <c r="L230">
        <v>7</v>
      </c>
      <c r="M230">
        <v>10</v>
      </c>
      <c r="N230">
        <v>5900000</v>
      </c>
      <c r="O230">
        <f>PropertyData[[#This Row],[Price]]/PropertyData[[#This Row],[Area_sqft]]</f>
        <v>6577.4804905239689</v>
      </c>
      <c r="P230" t="str">
        <f t="shared" si="3"/>
        <v>Mid-Range</v>
      </c>
    </row>
    <row r="231" spans="1:16">
      <c r="A231" t="s">
        <v>243</v>
      </c>
      <c r="B231" t="s">
        <v>1014</v>
      </c>
      <c r="C231">
        <v>1070</v>
      </c>
      <c r="D231">
        <v>3</v>
      </c>
      <c r="E231">
        <v>2</v>
      </c>
      <c r="F231">
        <v>12</v>
      </c>
      <c r="G231" t="s">
        <v>1022</v>
      </c>
      <c r="H231" t="s">
        <v>1022</v>
      </c>
      <c r="I231" t="s">
        <v>1022</v>
      </c>
      <c r="J231" t="s">
        <v>1022</v>
      </c>
      <c r="K231" t="s">
        <v>1024</v>
      </c>
      <c r="L231">
        <v>2</v>
      </c>
      <c r="M231">
        <v>3</v>
      </c>
      <c r="N231">
        <v>9400000</v>
      </c>
      <c r="O231">
        <f>PropertyData[[#This Row],[Price]]/PropertyData[[#This Row],[Area_sqft]]</f>
        <v>8785.0467289719618</v>
      </c>
      <c r="P231" t="str">
        <f t="shared" si="3"/>
        <v>Mid-Range</v>
      </c>
    </row>
    <row r="232" spans="1:16">
      <c r="A232" t="s">
        <v>244</v>
      </c>
      <c r="B232" t="s">
        <v>1016</v>
      </c>
      <c r="C232">
        <v>803</v>
      </c>
      <c r="D232">
        <v>1</v>
      </c>
      <c r="E232">
        <v>1</v>
      </c>
      <c r="F232">
        <v>14</v>
      </c>
      <c r="G232" t="s">
        <v>1022</v>
      </c>
      <c r="H232" t="s">
        <v>1023</v>
      </c>
      <c r="I232" t="s">
        <v>1022</v>
      </c>
      <c r="J232" t="s">
        <v>1022</v>
      </c>
      <c r="K232" t="s">
        <v>1025</v>
      </c>
      <c r="L232">
        <v>7</v>
      </c>
      <c r="M232">
        <v>16</v>
      </c>
      <c r="N232">
        <v>3900000</v>
      </c>
      <c r="O232">
        <f>PropertyData[[#This Row],[Price]]/PropertyData[[#This Row],[Area_sqft]]</f>
        <v>4856.7870485678704</v>
      </c>
      <c r="P232" t="str">
        <f t="shared" si="3"/>
        <v>Budget</v>
      </c>
    </row>
    <row r="233" spans="1:16">
      <c r="A233" t="s">
        <v>245</v>
      </c>
      <c r="B233" t="s">
        <v>1020</v>
      </c>
      <c r="C233">
        <v>1512</v>
      </c>
      <c r="D233">
        <v>3</v>
      </c>
      <c r="E233">
        <v>4</v>
      </c>
      <c r="F233">
        <v>30</v>
      </c>
      <c r="G233" t="s">
        <v>1022</v>
      </c>
      <c r="H233" t="s">
        <v>1022</v>
      </c>
      <c r="I233" t="s">
        <v>1023</v>
      </c>
      <c r="J233" t="s">
        <v>1023</v>
      </c>
      <c r="K233" t="s">
        <v>1024</v>
      </c>
      <c r="L233">
        <v>15</v>
      </c>
      <c r="M233">
        <v>23</v>
      </c>
      <c r="N233">
        <v>9100000</v>
      </c>
      <c r="O233">
        <f>PropertyData[[#This Row],[Price]]/PropertyData[[#This Row],[Area_sqft]]</f>
        <v>6018.5185185185182</v>
      </c>
      <c r="P233" t="str">
        <f t="shared" si="3"/>
        <v>Mid-Range</v>
      </c>
    </row>
    <row r="234" spans="1:16">
      <c r="A234" t="s">
        <v>246</v>
      </c>
      <c r="B234" t="s">
        <v>1015</v>
      </c>
      <c r="C234">
        <v>767</v>
      </c>
      <c r="D234">
        <v>2</v>
      </c>
      <c r="E234">
        <v>3</v>
      </c>
      <c r="F234">
        <v>23</v>
      </c>
      <c r="G234" t="s">
        <v>1022</v>
      </c>
      <c r="H234" t="s">
        <v>1023</v>
      </c>
      <c r="I234" t="s">
        <v>1023</v>
      </c>
      <c r="J234" t="s">
        <v>1022</v>
      </c>
      <c r="K234" t="s">
        <v>1025</v>
      </c>
      <c r="L234">
        <v>14</v>
      </c>
      <c r="M234">
        <v>18</v>
      </c>
      <c r="N234">
        <v>2250000</v>
      </c>
      <c r="O234">
        <f>PropertyData[[#This Row],[Price]]/PropertyData[[#This Row],[Area_sqft]]</f>
        <v>2933.5071707953066</v>
      </c>
      <c r="P234" t="str">
        <f t="shared" si="3"/>
        <v>Budget</v>
      </c>
    </row>
    <row r="235" spans="1:16">
      <c r="A235" t="s">
        <v>247</v>
      </c>
      <c r="B235" t="s">
        <v>1015</v>
      </c>
      <c r="C235">
        <v>1114</v>
      </c>
      <c r="D235">
        <v>3</v>
      </c>
      <c r="E235">
        <v>3</v>
      </c>
      <c r="F235">
        <v>30</v>
      </c>
      <c r="G235" t="s">
        <v>1022</v>
      </c>
      <c r="H235" t="s">
        <v>1022</v>
      </c>
      <c r="I235" t="s">
        <v>1023</v>
      </c>
      <c r="J235" t="s">
        <v>1022</v>
      </c>
      <c r="K235" t="s">
        <v>1025</v>
      </c>
      <c r="L235">
        <v>11</v>
      </c>
      <c r="M235">
        <v>22</v>
      </c>
      <c r="N235">
        <v>3350000</v>
      </c>
      <c r="O235">
        <f>PropertyData[[#This Row],[Price]]/PropertyData[[#This Row],[Area_sqft]]</f>
        <v>3007.1813285457811</v>
      </c>
      <c r="P235" t="str">
        <f t="shared" si="3"/>
        <v>Budget</v>
      </c>
    </row>
    <row r="236" spans="1:16">
      <c r="A236" t="s">
        <v>248</v>
      </c>
      <c r="B236" t="s">
        <v>1020</v>
      </c>
      <c r="C236">
        <v>2072</v>
      </c>
      <c r="D236">
        <v>5</v>
      </c>
      <c r="E236">
        <v>5</v>
      </c>
      <c r="F236">
        <v>5</v>
      </c>
      <c r="G236" t="s">
        <v>1022</v>
      </c>
      <c r="H236" t="s">
        <v>1023</v>
      </c>
      <c r="I236" t="s">
        <v>1023</v>
      </c>
      <c r="J236" t="s">
        <v>1022</v>
      </c>
      <c r="K236" t="s">
        <v>1025</v>
      </c>
      <c r="L236">
        <v>12</v>
      </c>
      <c r="M236">
        <v>22</v>
      </c>
      <c r="N236">
        <v>14350000</v>
      </c>
      <c r="O236">
        <f>PropertyData[[#This Row],[Price]]/PropertyData[[#This Row],[Area_sqft]]</f>
        <v>6925.6756756756758</v>
      </c>
      <c r="P236" t="str">
        <f t="shared" si="3"/>
        <v>Premium</v>
      </c>
    </row>
    <row r="237" spans="1:16">
      <c r="A237" t="s">
        <v>249</v>
      </c>
      <c r="B237" t="s">
        <v>1017</v>
      </c>
      <c r="C237">
        <v>1426</v>
      </c>
      <c r="D237">
        <v>3</v>
      </c>
      <c r="E237">
        <v>3</v>
      </c>
      <c r="F237">
        <v>22</v>
      </c>
      <c r="G237" t="s">
        <v>1022</v>
      </c>
      <c r="H237" t="s">
        <v>1023</v>
      </c>
      <c r="I237" t="s">
        <v>1023</v>
      </c>
      <c r="J237" t="s">
        <v>1022</v>
      </c>
      <c r="K237" t="s">
        <v>1025</v>
      </c>
      <c r="L237">
        <v>1</v>
      </c>
      <c r="M237">
        <v>12</v>
      </c>
      <c r="N237">
        <v>4600000</v>
      </c>
      <c r="O237">
        <f>PropertyData[[#This Row],[Price]]/PropertyData[[#This Row],[Area_sqft]]</f>
        <v>3225.8064516129034</v>
      </c>
      <c r="P237" t="str">
        <f t="shared" si="3"/>
        <v>Budget</v>
      </c>
    </row>
    <row r="238" spans="1:16">
      <c r="A238" t="s">
        <v>250</v>
      </c>
      <c r="B238" t="s">
        <v>1014</v>
      </c>
      <c r="C238">
        <v>2148</v>
      </c>
      <c r="D238">
        <v>5</v>
      </c>
      <c r="E238">
        <v>5</v>
      </c>
      <c r="F238">
        <v>8</v>
      </c>
      <c r="G238" t="s">
        <v>1023</v>
      </c>
      <c r="H238" t="s">
        <v>1023</v>
      </c>
      <c r="I238" t="s">
        <v>1023</v>
      </c>
      <c r="J238" t="s">
        <v>1022</v>
      </c>
      <c r="K238" t="s">
        <v>1024</v>
      </c>
      <c r="L238">
        <v>11</v>
      </c>
      <c r="M238">
        <v>15</v>
      </c>
      <c r="N238">
        <v>18100000</v>
      </c>
      <c r="O238">
        <f>PropertyData[[#This Row],[Price]]/PropertyData[[#This Row],[Area_sqft]]</f>
        <v>8426.4432029795153</v>
      </c>
      <c r="P238" t="str">
        <f t="shared" si="3"/>
        <v>Premium</v>
      </c>
    </row>
    <row r="239" spans="1:16">
      <c r="A239" t="s">
        <v>251</v>
      </c>
      <c r="B239" t="s">
        <v>1018</v>
      </c>
      <c r="C239">
        <v>897</v>
      </c>
      <c r="D239">
        <v>2</v>
      </c>
      <c r="E239">
        <v>2</v>
      </c>
      <c r="F239">
        <v>28</v>
      </c>
      <c r="G239" t="s">
        <v>1022</v>
      </c>
      <c r="H239" t="s">
        <v>1023</v>
      </c>
      <c r="I239" t="s">
        <v>1022</v>
      </c>
      <c r="J239" t="s">
        <v>1022</v>
      </c>
      <c r="K239" t="s">
        <v>1024</v>
      </c>
      <c r="L239">
        <v>2</v>
      </c>
      <c r="M239">
        <v>20</v>
      </c>
      <c r="N239">
        <v>4250000</v>
      </c>
      <c r="O239">
        <f>PropertyData[[#This Row],[Price]]/PropertyData[[#This Row],[Area_sqft]]</f>
        <v>4738.0156075808254</v>
      </c>
      <c r="P239" t="str">
        <f t="shared" si="3"/>
        <v>Budget</v>
      </c>
    </row>
    <row r="240" spans="1:16">
      <c r="A240" t="s">
        <v>252</v>
      </c>
      <c r="B240" t="s">
        <v>1020</v>
      </c>
      <c r="C240">
        <v>1218</v>
      </c>
      <c r="D240">
        <v>3</v>
      </c>
      <c r="E240">
        <v>2</v>
      </c>
      <c r="F240">
        <v>29</v>
      </c>
      <c r="G240" t="s">
        <v>1023</v>
      </c>
      <c r="H240" t="s">
        <v>1023</v>
      </c>
      <c r="I240" t="s">
        <v>1023</v>
      </c>
      <c r="J240" t="s">
        <v>1022</v>
      </c>
      <c r="K240" t="s">
        <v>1025</v>
      </c>
      <c r="L240">
        <v>18</v>
      </c>
      <c r="M240">
        <v>22</v>
      </c>
      <c r="N240">
        <v>6350000</v>
      </c>
      <c r="O240">
        <f>PropertyData[[#This Row],[Price]]/PropertyData[[#This Row],[Area_sqft]]</f>
        <v>5213.4646962233173</v>
      </c>
      <c r="P240" t="str">
        <f t="shared" si="3"/>
        <v>Mid-Range</v>
      </c>
    </row>
    <row r="241" spans="1:16">
      <c r="A241" t="s">
        <v>253</v>
      </c>
      <c r="B241" t="s">
        <v>1016</v>
      </c>
      <c r="C241">
        <v>1131</v>
      </c>
      <c r="D241">
        <v>3</v>
      </c>
      <c r="E241">
        <v>3</v>
      </c>
      <c r="F241">
        <v>25</v>
      </c>
      <c r="G241" t="s">
        <v>1023</v>
      </c>
      <c r="H241" t="s">
        <v>1023</v>
      </c>
      <c r="I241" t="s">
        <v>1022</v>
      </c>
      <c r="J241" t="s">
        <v>1023</v>
      </c>
      <c r="K241" t="s">
        <v>1025</v>
      </c>
      <c r="L241">
        <v>9</v>
      </c>
      <c r="M241">
        <v>17</v>
      </c>
      <c r="N241">
        <v>4750000</v>
      </c>
      <c r="O241">
        <f>PropertyData[[#This Row],[Price]]/PropertyData[[#This Row],[Area_sqft]]</f>
        <v>4199.8231653404064</v>
      </c>
      <c r="P241" t="str">
        <f t="shared" si="3"/>
        <v>Budget</v>
      </c>
    </row>
    <row r="242" spans="1:16">
      <c r="A242" t="s">
        <v>254</v>
      </c>
      <c r="B242" t="s">
        <v>1017</v>
      </c>
      <c r="C242">
        <v>854</v>
      </c>
      <c r="D242">
        <v>2</v>
      </c>
      <c r="E242">
        <v>2</v>
      </c>
      <c r="F242">
        <v>3</v>
      </c>
      <c r="G242" t="s">
        <v>1022</v>
      </c>
      <c r="H242" t="s">
        <v>1022</v>
      </c>
      <c r="I242" t="s">
        <v>1023</v>
      </c>
      <c r="J242" t="s">
        <v>1022</v>
      </c>
      <c r="K242" t="s">
        <v>1025</v>
      </c>
      <c r="L242">
        <v>19</v>
      </c>
      <c r="M242">
        <v>21</v>
      </c>
      <c r="N242">
        <v>3700000</v>
      </c>
      <c r="O242">
        <f>PropertyData[[#This Row],[Price]]/PropertyData[[#This Row],[Area_sqft]]</f>
        <v>4332.5526932084313</v>
      </c>
      <c r="P242" t="str">
        <f t="shared" si="3"/>
        <v>Budget</v>
      </c>
    </row>
    <row r="243" spans="1:16">
      <c r="A243" t="s">
        <v>255</v>
      </c>
      <c r="B243" t="s">
        <v>1017</v>
      </c>
      <c r="C243">
        <v>1715</v>
      </c>
      <c r="D243">
        <v>4</v>
      </c>
      <c r="E243">
        <v>4</v>
      </c>
      <c r="F243">
        <v>3</v>
      </c>
      <c r="G243" t="s">
        <v>1023</v>
      </c>
      <c r="H243" t="s">
        <v>1023</v>
      </c>
      <c r="I243" t="s">
        <v>1023</v>
      </c>
      <c r="J243" t="s">
        <v>1022</v>
      </c>
      <c r="K243" t="s">
        <v>1025</v>
      </c>
      <c r="L243">
        <v>8</v>
      </c>
      <c r="M243">
        <v>16</v>
      </c>
      <c r="N243">
        <v>6550000</v>
      </c>
      <c r="O243">
        <f>PropertyData[[#This Row],[Price]]/PropertyData[[#This Row],[Area_sqft]]</f>
        <v>3819.2419825072884</v>
      </c>
      <c r="P243" t="str">
        <f t="shared" si="3"/>
        <v>Mid-Range</v>
      </c>
    </row>
    <row r="244" spans="1:16">
      <c r="A244" t="s">
        <v>256</v>
      </c>
      <c r="B244" t="s">
        <v>1018</v>
      </c>
      <c r="C244">
        <v>1501</v>
      </c>
      <c r="D244">
        <v>4</v>
      </c>
      <c r="E244">
        <v>4</v>
      </c>
      <c r="F244">
        <v>25</v>
      </c>
      <c r="G244" t="s">
        <v>1023</v>
      </c>
      <c r="H244" t="s">
        <v>1022</v>
      </c>
      <c r="I244" t="s">
        <v>1023</v>
      </c>
      <c r="J244" t="s">
        <v>1023</v>
      </c>
      <c r="K244" t="s">
        <v>1025</v>
      </c>
      <c r="L244">
        <v>8</v>
      </c>
      <c r="M244">
        <v>11</v>
      </c>
      <c r="N244">
        <v>7050000</v>
      </c>
      <c r="O244">
        <f>PropertyData[[#This Row],[Price]]/PropertyData[[#This Row],[Area_sqft]]</f>
        <v>4696.868754163891</v>
      </c>
      <c r="P244" t="str">
        <f t="shared" si="3"/>
        <v>Mid-Range</v>
      </c>
    </row>
    <row r="245" spans="1:16">
      <c r="A245" t="s">
        <v>257</v>
      </c>
      <c r="B245" t="s">
        <v>1019</v>
      </c>
      <c r="C245">
        <v>729</v>
      </c>
      <c r="D245">
        <v>2</v>
      </c>
      <c r="E245">
        <v>2</v>
      </c>
      <c r="F245">
        <v>22</v>
      </c>
      <c r="G245" t="s">
        <v>1023</v>
      </c>
      <c r="H245" t="s">
        <v>1022</v>
      </c>
      <c r="I245" t="s">
        <v>1023</v>
      </c>
      <c r="J245" t="s">
        <v>1022</v>
      </c>
      <c r="K245" t="s">
        <v>1024</v>
      </c>
      <c r="L245">
        <v>6</v>
      </c>
      <c r="M245">
        <v>10</v>
      </c>
      <c r="N245">
        <v>5850000</v>
      </c>
      <c r="O245">
        <f>PropertyData[[#This Row],[Price]]/PropertyData[[#This Row],[Area_sqft]]</f>
        <v>8024.691358024691</v>
      </c>
      <c r="P245" t="str">
        <f t="shared" si="3"/>
        <v>Mid-Range</v>
      </c>
    </row>
    <row r="246" spans="1:16">
      <c r="A246" t="s">
        <v>258</v>
      </c>
      <c r="B246" t="s">
        <v>1020</v>
      </c>
      <c r="C246">
        <v>864</v>
      </c>
      <c r="D246">
        <v>2</v>
      </c>
      <c r="E246">
        <v>3</v>
      </c>
      <c r="F246">
        <v>18</v>
      </c>
      <c r="G246" t="s">
        <v>1022</v>
      </c>
      <c r="H246" t="s">
        <v>1022</v>
      </c>
      <c r="I246" t="s">
        <v>1023</v>
      </c>
      <c r="J246" t="s">
        <v>1022</v>
      </c>
      <c r="K246" t="s">
        <v>1026</v>
      </c>
      <c r="L246">
        <v>4</v>
      </c>
      <c r="M246">
        <v>18</v>
      </c>
      <c r="N246">
        <v>6750000</v>
      </c>
      <c r="O246">
        <f>PropertyData[[#This Row],[Price]]/PropertyData[[#This Row],[Area_sqft]]</f>
        <v>7812.5</v>
      </c>
      <c r="P246" t="str">
        <f t="shared" si="3"/>
        <v>Mid-Range</v>
      </c>
    </row>
    <row r="247" spans="1:16">
      <c r="A247" t="s">
        <v>259</v>
      </c>
      <c r="B247" t="s">
        <v>1020</v>
      </c>
      <c r="C247">
        <v>896</v>
      </c>
      <c r="D247">
        <v>2</v>
      </c>
      <c r="E247">
        <v>2</v>
      </c>
      <c r="F247">
        <v>24</v>
      </c>
      <c r="G247" t="s">
        <v>1022</v>
      </c>
      <c r="H247" t="s">
        <v>1023</v>
      </c>
      <c r="I247" t="s">
        <v>1023</v>
      </c>
      <c r="J247" t="s">
        <v>1023</v>
      </c>
      <c r="K247" t="s">
        <v>1024</v>
      </c>
      <c r="L247">
        <v>8</v>
      </c>
      <c r="M247">
        <v>24</v>
      </c>
      <c r="N247">
        <v>5050000</v>
      </c>
      <c r="O247">
        <f>PropertyData[[#This Row],[Price]]/PropertyData[[#This Row],[Area_sqft]]</f>
        <v>5636.1607142857147</v>
      </c>
      <c r="P247" t="str">
        <f t="shared" si="3"/>
        <v>Mid-Range</v>
      </c>
    </row>
    <row r="248" spans="1:16">
      <c r="A248" t="s">
        <v>260</v>
      </c>
      <c r="B248" t="s">
        <v>1018</v>
      </c>
      <c r="C248">
        <v>1035</v>
      </c>
      <c r="D248">
        <v>3</v>
      </c>
      <c r="E248">
        <v>3</v>
      </c>
      <c r="F248">
        <v>9</v>
      </c>
      <c r="G248" t="s">
        <v>1022</v>
      </c>
      <c r="H248" t="s">
        <v>1022</v>
      </c>
      <c r="I248" t="s">
        <v>1023</v>
      </c>
      <c r="J248" t="s">
        <v>1022</v>
      </c>
      <c r="K248" t="s">
        <v>1025</v>
      </c>
      <c r="L248">
        <v>5</v>
      </c>
      <c r="M248">
        <v>10</v>
      </c>
      <c r="N248">
        <v>5550000</v>
      </c>
      <c r="O248">
        <f>PropertyData[[#This Row],[Price]]/PropertyData[[#This Row],[Area_sqft]]</f>
        <v>5362.31884057971</v>
      </c>
      <c r="P248" t="str">
        <f t="shared" si="3"/>
        <v>Mid-Range</v>
      </c>
    </row>
    <row r="249" spans="1:16">
      <c r="A249" t="s">
        <v>261</v>
      </c>
      <c r="B249" t="s">
        <v>1020</v>
      </c>
      <c r="C249">
        <v>1341</v>
      </c>
      <c r="D249">
        <v>3</v>
      </c>
      <c r="E249">
        <v>3</v>
      </c>
      <c r="F249">
        <v>1</v>
      </c>
      <c r="G249" t="s">
        <v>1022</v>
      </c>
      <c r="H249" t="s">
        <v>1023</v>
      </c>
      <c r="I249" t="s">
        <v>1023</v>
      </c>
      <c r="J249" t="s">
        <v>1023</v>
      </c>
      <c r="K249" t="s">
        <v>1025</v>
      </c>
      <c r="L249">
        <v>7</v>
      </c>
      <c r="M249">
        <v>23</v>
      </c>
      <c r="N249">
        <v>9300000</v>
      </c>
      <c r="O249">
        <f>PropertyData[[#This Row],[Price]]/PropertyData[[#This Row],[Area_sqft]]</f>
        <v>6935.1230425055928</v>
      </c>
      <c r="P249" t="str">
        <f t="shared" si="3"/>
        <v>Mid-Range</v>
      </c>
    </row>
    <row r="250" spans="1:16">
      <c r="A250" t="s">
        <v>262</v>
      </c>
      <c r="B250" t="s">
        <v>1019</v>
      </c>
      <c r="C250">
        <v>1165</v>
      </c>
      <c r="D250">
        <v>2</v>
      </c>
      <c r="E250">
        <v>3</v>
      </c>
      <c r="F250">
        <v>20</v>
      </c>
      <c r="G250" t="s">
        <v>1023</v>
      </c>
      <c r="H250" t="s">
        <v>1023</v>
      </c>
      <c r="I250" t="s">
        <v>1023</v>
      </c>
      <c r="J250" t="s">
        <v>1022</v>
      </c>
      <c r="K250" t="s">
        <v>1024</v>
      </c>
      <c r="L250">
        <v>1</v>
      </c>
      <c r="M250">
        <v>18</v>
      </c>
      <c r="N250">
        <v>8150000</v>
      </c>
      <c r="O250">
        <f>PropertyData[[#This Row],[Price]]/PropertyData[[#This Row],[Area_sqft]]</f>
        <v>6995.7081545064375</v>
      </c>
      <c r="P250" t="str">
        <f t="shared" si="3"/>
        <v>Mid-Range</v>
      </c>
    </row>
    <row r="251" spans="1:16">
      <c r="A251" t="s">
        <v>263</v>
      </c>
      <c r="B251" t="s">
        <v>1021</v>
      </c>
      <c r="C251">
        <v>1297</v>
      </c>
      <c r="D251">
        <v>3</v>
      </c>
      <c r="E251">
        <v>3</v>
      </c>
      <c r="F251">
        <v>19</v>
      </c>
      <c r="G251" t="s">
        <v>1022</v>
      </c>
      <c r="H251" t="s">
        <v>1023</v>
      </c>
      <c r="I251" t="s">
        <v>1023</v>
      </c>
      <c r="J251" t="s">
        <v>1023</v>
      </c>
      <c r="K251" t="s">
        <v>1025</v>
      </c>
      <c r="L251">
        <v>4</v>
      </c>
      <c r="M251">
        <v>22</v>
      </c>
      <c r="N251">
        <v>6850000</v>
      </c>
      <c r="O251">
        <f>PropertyData[[#This Row],[Price]]/PropertyData[[#This Row],[Area_sqft]]</f>
        <v>5281.4186584425597</v>
      </c>
      <c r="P251" t="str">
        <f t="shared" si="3"/>
        <v>Mid-Range</v>
      </c>
    </row>
    <row r="252" spans="1:16">
      <c r="A252" t="s">
        <v>264</v>
      </c>
      <c r="B252" t="s">
        <v>1015</v>
      </c>
      <c r="C252">
        <v>1829</v>
      </c>
      <c r="D252">
        <v>5</v>
      </c>
      <c r="E252">
        <v>5</v>
      </c>
      <c r="F252">
        <v>15</v>
      </c>
      <c r="G252" t="s">
        <v>1023</v>
      </c>
      <c r="H252" t="s">
        <v>1022</v>
      </c>
      <c r="I252" t="s">
        <v>1023</v>
      </c>
      <c r="J252" t="s">
        <v>1022</v>
      </c>
      <c r="K252" t="s">
        <v>1025</v>
      </c>
      <c r="L252">
        <v>12</v>
      </c>
      <c r="M252">
        <v>22</v>
      </c>
      <c r="N252">
        <v>5550000</v>
      </c>
      <c r="O252">
        <f>PropertyData[[#This Row],[Price]]/PropertyData[[#This Row],[Area_sqft]]</f>
        <v>3034.4450519409515</v>
      </c>
      <c r="P252" t="str">
        <f t="shared" si="3"/>
        <v>Mid-Range</v>
      </c>
    </row>
    <row r="253" spans="1:16">
      <c r="A253" t="s">
        <v>265</v>
      </c>
      <c r="B253" t="s">
        <v>1021</v>
      </c>
      <c r="C253">
        <v>781</v>
      </c>
      <c r="D253">
        <v>2</v>
      </c>
      <c r="E253">
        <v>2</v>
      </c>
      <c r="F253">
        <v>21</v>
      </c>
      <c r="G253" t="s">
        <v>1022</v>
      </c>
      <c r="H253" t="s">
        <v>1023</v>
      </c>
      <c r="I253" t="s">
        <v>1023</v>
      </c>
      <c r="J253" t="s">
        <v>1022</v>
      </c>
      <c r="K253" t="s">
        <v>1024</v>
      </c>
      <c r="L253">
        <v>3</v>
      </c>
      <c r="M253">
        <v>20</v>
      </c>
      <c r="N253">
        <v>5050000</v>
      </c>
      <c r="O253">
        <f>PropertyData[[#This Row],[Price]]/PropertyData[[#This Row],[Area_sqft]]</f>
        <v>6466.0691421254805</v>
      </c>
      <c r="P253" t="str">
        <f t="shared" si="3"/>
        <v>Mid-Range</v>
      </c>
    </row>
    <row r="254" spans="1:16">
      <c r="A254" t="s">
        <v>266</v>
      </c>
      <c r="B254" t="s">
        <v>1018</v>
      </c>
      <c r="C254">
        <v>1283</v>
      </c>
      <c r="D254">
        <v>3</v>
      </c>
      <c r="E254">
        <v>3</v>
      </c>
      <c r="F254">
        <v>16</v>
      </c>
      <c r="G254" t="s">
        <v>1022</v>
      </c>
      <c r="H254" t="s">
        <v>1022</v>
      </c>
      <c r="I254" t="s">
        <v>1022</v>
      </c>
      <c r="J254" t="s">
        <v>1022</v>
      </c>
      <c r="K254" t="s">
        <v>1026</v>
      </c>
      <c r="L254">
        <v>6</v>
      </c>
      <c r="M254">
        <v>6</v>
      </c>
      <c r="N254">
        <v>9400000</v>
      </c>
      <c r="O254">
        <f>PropertyData[[#This Row],[Price]]/PropertyData[[#This Row],[Area_sqft]]</f>
        <v>7326.5783320342944</v>
      </c>
      <c r="P254" t="str">
        <f t="shared" si="3"/>
        <v>Mid-Range</v>
      </c>
    </row>
    <row r="255" spans="1:16">
      <c r="A255" t="s">
        <v>267</v>
      </c>
      <c r="B255" t="s">
        <v>1017</v>
      </c>
      <c r="C255">
        <v>928</v>
      </c>
      <c r="D255">
        <v>2</v>
      </c>
      <c r="E255">
        <v>2</v>
      </c>
      <c r="F255">
        <v>8</v>
      </c>
      <c r="G255" t="s">
        <v>1022</v>
      </c>
      <c r="H255" t="s">
        <v>1022</v>
      </c>
      <c r="I255" t="s">
        <v>1022</v>
      </c>
      <c r="J255" t="s">
        <v>1022</v>
      </c>
      <c r="K255" t="s">
        <v>1024</v>
      </c>
      <c r="L255">
        <v>4</v>
      </c>
      <c r="M255">
        <v>4</v>
      </c>
      <c r="N255">
        <v>4450000</v>
      </c>
      <c r="O255">
        <f>PropertyData[[#This Row],[Price]]/PropertyData[[#This Row],[Area_sqft]]</f>
        <v>4795.2586206896549</v>
      </c>
      <c r="P255" t="str">
        <f t="shared" si="3"/>
        <v>Budget</v>
      </c>
    </row>
    <row r="256" spans="1:16">
      <c r="A256" t="s">
        <v>268</v>
      </c>
      <c r="B256" t="s">
        <v>1017</v>
      </c>
      <c r="C256">
        <v>1435</v>
      </c>
      <c r="D256">
        <v>3</v>
      </c>
      <c r="E256">
        <v>3</v>
      </c>
      <c r="F256">
        <v>19</v>
      </c>
      <c r="G256" t="s">
        <v>1022</v>
      </c>
      <c r="H256" t="s">
        <v>1022</v>
      </c>
      <c r="I256" t="s">
        <v>1023</v>
      </c>
      <c r="J256" t="s">
        <v>1023</v>
      </c>
      <c r="K256" t="s">
        <v>1024</v>
      </c>
      <c r="L256">
        <v>10</v>
      </c>
      <c r="M256">
        <v>10</v>
      </c>
      <c r="N256">
        <v>6100000</v>
      </c>
      <c r="O256">
        <f>PropertyData[[#This Row],[Price]]/PropertyData[[#This Row],[Area_sqft]]</f>
        <v>4250.8710801393727</v>
      </c>
      <c r="P256" t="str">
        <f t="shared" si="3"/>
        <v>Mid-Range</v>
      </c>
    </row>
    <row r="257" spans="1:16">
      <c r="A257" t="s">
        <v>269</v>
      </c>
      <c r="B257" t="s">
        <v>1019</v>
      </c>
      <c r="C257">
        <v>1210</v>
      </c>
      <c r="D257">
        <v>2</v>
      </c>
      <c r="E257">
        <v>1</v>
      </c>
      <c r="F257">
        <v>8</v>
      </c>
      <c r="G257" t="s">
        <v>1022</v>
      </c>
      <c r="H257" t="s">
        <v>1022</v>
      </c>
      <c r="I257" t="s">
        <v>1022</v>
      </c>
      <c r="J257" t="s">
        <v>1022</v>
      </c>
      <c r="K257" t="s">
        <v>1026</v>
      </c>
      <c r="L257">
        <v>2</v>
      </c>
      <c r="M257">
        <v>4</v>
      </c>
      <c r="N257">
        <v>15150000</v>
      </c>
      <c r="O257">
        <f>PropertyData[[#This Row],[Price]]/PropertyData[[#This Row],[Area_sqft]]</f>
        <v>12520.661157024793</v>
      </c>
      <c r="P257" t="str">
        <f t="shared" si="3"/>
        <v>Premium</v>
      </c>
    </row>
    <row r="258" spans="1:16">
      <c r="A258" t="s">
        <v>270</v>
      </c>
      <c r="B258" t="s">
        <v>1018</v>
      </c>
      <c r="C258">
        <v>1220</v>
      </c>
      <c r="D258">
        <v>3</v>
      </c>
      <c r="E258">
        <v>3</v>
      </c>
      <c r="F258">
        <v>28</v>
      </c>
      <c r="G258" t="s">
        <v>1023</v>
      </c>
      <c r="H258" t="s">
        <v>1022</v>
      </c>
      <c r="I258" t="s">
        <v>1023</v>
      </c>
      <c r="J258" t="s">
        <v>1022</v>
      </c>
      <c r="K258" t="s">
        <v>1024</v>
      </c>
      <c r="L258">
        <v>19</v>
      </c>
      <c r="M258">
        <v>22</v>
      </c>
      <c r="N258">
        <v>5850000</v>
      </c>
      <c r="O258">
        <f>PropertyData[[#This Row],[Price]]/PropertyData[[#This Row],[Area_sqft]]</f>
        <v>4795.0819672131147</v>
      </c>
      <c r="P258" t="str">
        <f t="shared" ref="P258:P321" si="4">IF(N258&lt;5000000,"Budget",IF(N258&lt;=10000000,"Mid-Range","Premium"))</f>
        <v>Mid-Range</v>
      </c>
    </row>
    <row r="259" spans="1:16">
      <c r="A259" t="s">
        <v>271</v>
      </c>
      <c r="B259" t="s">
        <v>1021</v>
      </c>
      <c r="C259">
        <v>887</v>
      </c>
      <c r="D259">
        <v>2</v>
      </c>
      <c r="E259">
        <v>2</v>
      </c>
      <c r="F259">
        <v>26</v>
      </c>
      <c r="G259" t="s">
        <v>1022</v>
      </c>
      <c r="H259" t="s">
        <v>1023</v>
      </c>
      <c r="I259" t="s">
        <v>1023</v>
      </c>
      <c r="J259" t="s">
        <v>1022</v>
      </c>
      <c r="K259" t="s">
        <v>1024</v>
      </c>
      <c r="L259">
        <v>4</v>
      </c>
      <c r="M259">
        <v>5</v>
      </c>
      <c r="N259">
        <v>5600000</v>
      </c>
      <c r="O259">
        <f>PropertyData[[#This Row],[Price]]/PropertyData[[#This Row],[Area_sqft]]</f>
        <v>6313.4160090191654</v>
      </c>
      <c r="P259" t="str">
        <f t="shared" si="4"/>
        <v>Mid-Range</v>
      </c>
    </row>
    <row r="260" spans="1:16">
      <c r="A260" t="s">
        <v>272</v>
      </c>
      <c r="B260" t="s">
        <v>1017</v>
      </c>
      <c r="C260">
        <v>1149</v>
      </c>
      <c r="D260">
        <v>2</v>
      </c>
      <c r="E260">
        <v>1</v>
      </c>
      <c r="F260">
        <v>26</v>
      </c>
      <c r="G260" t="s">
        <v>1023</v>
      </c>
      <c r="H260" t="s">
        <v>1023</v>
      </c>
      <c r="I260" t="s">
        <v>1023</v>
      </c>
      <c r="J260" t="s">
        <v>1022</v>
      </c>
      <c r="K260" t="s">
        <v>1025</v>
      </c>
      <c r="L260">
        <v>1</v>
      </c>
      <c r="M260">
        <v>18</v>
      </c>
      <c r="N260">
        <v>3400000</v>
      </c>
      <c r="O260">
        <f>PropertyData[[#This Row],[Price]]/PropertyData[[#This Row],[Area_sqft]]</f>
        <v>2959.0948651000872</v>
      </c>
      <c r="P260" t="str">
        <f t="shared" si="4"/>
        <v>Budget</v>
      </c>
    </row>
    <row r="261" spans="1:16">
      <c r="A261" t="s">
        <v>273</v>
      </c>
      <c r="B261" t="s">
        <v>1017</v>
      </c>
      <c r="C261">
        <v>1186</v>
      </c>
      <c r="D261">
        <v>2</v>
      </c>
      <c r="E261">
        <v>2</v>
      </c>
      <c r="F261">
        <v>5</v>
      </c>
      <c r="G261" t="s">
        <v>1023</v>
      </c>
      <c r="H261" t="s">
        <v>1022</v>
      </c>
      <c r="I261" t="s">
        <v>1022</v>
      </c>
      <c r="J261" t="s">
        <v>1022</v>
      </c>
      <c r="K261" t="s">
        <v>1025</v>
      </c>
      <c r="L261">
        <v>3</v>
      </c>
      <c r="M261">
        <v>22</v>
      </c>
      <c r="N261">
        <v>5600000</v>
      </c>
      <c r="O261">
        <f>PropertyData[[#This Row],[Price]]/PropertyData[[#This Row],[Area_sqft]]</f>
        <v>4721.7537942664421</v>
      </c>
      <c r="P261" t="str">
        <f t="shared" si="4"/>
        <v>Mid-Range</v>
      </c>
    </row>
    <row r="262" spans="1:16">
      <c r="A262" t="s">
        <v>274</v>
      </c>
      <c r="B262" t="s">
        <v>1021</v>
      </c>
      <c r="C262">
        <v>1651</v>
      </c>
      <c r="D262">
        <v>3</v>
      </c>
      <c r="E262">
        <v>3</v>
      </c>
      <c r="F262">
        <v>25</v>
      </c>
      <c r="G262" t="s">
        <v>1023</v>
      </c>
      <c r="H262" t="s">
        <v>1022</v>
      </c>
      <c r="I262" t="s">
        <v>1023</v>
      </c>
      <c r="J262" t="s">
        <v>1022</v>
      </c>
      <c r="K262" t="s">
        <v>1025</v>
      </c>
      <c r="L262">
        <v>18</v>
      </c>
      <c r="M262">
        <v>21</v>
      </c>
      <c r="N262">
        <v>8200000</v>
      </c>
      <c r="O262">
        <f>PropertyData[[#This Row],[Price]]/PropertyData[[#This Row],[Area_sqft]]</f>
        <v>4966.6868564506358</v>
      </c>
      <c r="P262" t="str">
        <f t="shared" si="4"/>
        <v>Mid-Range</v>
      </c>
    </row>
    <row r="263" spans="1:16">
      <c r="A263" t="s">
        <v>275</v>
      </c>
      <c r="B263" t="s">
        <v>1017</v>
      </c>
      <c r="C263">
        <v>924</v>
      </c>
      <c r="D263">
        <v>2</v>
      </c>
      <c r="E263">
        <v>2</v>
      </c>
      <c r="F263">
        <v>15</v>
      </c>
      <c r="G263" t="s">
        <v>1023</v>
      </c>
      <c r="H263" t="s">
        <v>1022</v>
      </c>
      <c r="I263" t="s">
        <v>1023</v>
      </c>
      <c r="J263" t="s">
        <v>1022</v>
      </c>
      <c r="K263" t="s">
        <v>1025</v>
      </c>
      <c r="L263">
        <v>1</v>
      </c>
      <c r="M263">
        <v>12</v>
      </c>
      <c r="N263">
        <v>3000000</v>
      </c>
      <c r="O263">
        <f>PropertyData[[#This Row],[Price]]/PropertyData[[#This Row],[Area_sqft]]</f>
        <v>3246.7532467532469</v>
      </c>
      <c r="P263" t="str">
        <f t="shared" si="4"/>
        <v>Budget</v>
      </c>
    </row>
    <row r="264" spans="1:16">
      <c r="A264" t="s">
        <v>276</v>
      </c>
      <c r="B264" t="s">
        <v>1018</v>
      </c>
      <c r="C264">
        <v>1701</v>
      </c>
      <c r="D264">
        <v>4</v>
      </c>
      <c r="E264">
        <v>4</v>
      </c>
      <c r="F264">
        <v>3</v>
      </c>
      <c r="G264" t="s">
        <v>1023</v>
      </c>
      <c r="H264" t="s">
        <v>1022</v>
      </c>
      <c r="I264" t="s">
        <v>1022</v>
      </c>
      <c r="J264" t="s">
        <v>1022</v>
      </c>
      <c r="K264" t="s">
        <v>1025</v>
      </c>
      <c r="L264">
        <v>1</v>
      </c>
      <c r="M264">
        <v>24</v>
      </c>
      <c r="N264">
        <v>10500000</v>
      </c>
      <c r="O264">
        <f>PropertyData[[#This Row],[Price]]/PropertyData[[#This Row],[Area_sqft]]</f>
        <v>6172.8395061728397</v>
      </c>
      <c r="P264" t="str">
        <f t="shared" si="4"/>
        <v>Premium</v>
      </c>
    </row>
    <row r="265" spans="1:16">
      <c r="A265" t="s">
        <v>277</v>
      </c>
      <c r="B265" t="s">
        <v>1018</v>
      </c>
      <c r="C265">
        <v>802</v>
      </c>
      <c r="D265">
        <v>2</v>
      </c>
      <c r="E265">
        <v>2</v>
      </c>
      <c r="F265">
        <v>10</v>
      </c>
      <c r="G265" t="s">
        <v>1022</v>
      </c>
      <c r="H265" t="s">
        <v>1022</v>
      </c>
      <c r="I265" t="s">
        <v>1023</v>
      </c>
      <c r="J265" t="s">
        <v>1023</v>
      </c>
      <c r="K265" t="s">
        <v>1026</v>
      </c>
      <c r="L265">
        <v>9</v>
      </c>
      <c r="M265">
        <v>10</v>
      </c>
      <c r="N265">
        <v>5400000</v>
      </c>
      <c r="O265">
        <f>PropertyData[[#This Row],[Price]]/PropertyData[[#This Row],[Area_sqft]]</f>
        <v>6733.1670822942642</v>
      </c>
      <c r="P265" t="str">
        <f t="shared" si="4"/>
        <v>Mid-Range</v>
      </c>
    </row>
    <row r="266" spans="1:16">
      <c r="A266" t="s">
        <v>278</v>
      </c>
      <c r="B266" t="s">
        <v>1018</v>
      </c>
      <c r="C266">
        <v>1199</v>
      </c>
      <c r="D266">
        <v>2</v>
      </c>
      <c r="E266">
        <v>2</v>
      </c>
      <c r="F266">
        <v>25</v>
      </c>
      <c r="G266" t="s">
        <v>1022</v>
      </c>
      <c r="H266" t="s">
        <v>1022</v>
      </c>
      <c r="I266" t="s">
        <v>1022</v>
      </c>
      <c r="J266" t="s">
        <v>1022</v>
      </c>
      <c r="K266" t="s">
        <v>1024</v>
      </c>
      <c r="L266">
        <v>18</v>
      </c>
      <c r="M266">
        <v>19</v>
      </c>
      <c r="N266">
        <v>6050000</v>
      </c>
      <c r="O266">
        <f>PropertyData[[#This Row],[Price]]/PropertyData[[#This Row],[Area_sqft]]</f>
        <v>5045.8715596330276</v>
      </c>
      <c r="P266" t="str">
        <f t="shared" si="4"/>
        <v>Mid-Range</v>
      </c>
    </row>
    <row r="267" spans="1:16">
      <c r="A267" t="s">
        <v>279</v>
      </c>
      <c r="B267" t="s">
        <v>1014</v>
      </c>
      <c r="C267">
        <v>1421</v>
      </c>
      <c r="D267">
        <v>3</v>
      </c>
      <c r="E267">
        <v>2</v>
      </c>
      <c r="F267">
        <v>6</v>
      </c>
      <c r="G267" t="s">
        <v>1022</v>
      </c>
      <c r="H267" t="s">
        <v>1022</v>
      </c>
      <c r="I267" t="s">
        <v>1023</v>
      </c>
      <c r="J267" t="s">
        <v>1022</v>
      </c>
      <c r="K267" t="s">
        <v>1025</v>
      </c>
      <c r="L267">
        <v>3</v>
      </c>
      <c r="M267">
        <v>16</v>
      </c>
      <c r="N267">
        <v>9300000</v>
      </c>
      <c r="O267">
        <f>PropertyData[[#This Row],[Price]]/PropertyData[[#This Row],[Area_sqft]]</f>
        <v>6544.6868402533428</v>
      </c>
      <c r="P267" t="str">
        <f t="shared" si="4"/>
        <v>Mid-Range</v>
      </c>
    </row>
    <row r="268" spans="1:16">
      <c r="A268" t="s">
        <v>280</v>
      </c>
      <c r="B268" t="s">
        <v>1015</v>
      </c>
      <c r="C268">
        <v>1147</v>
      </c>
      <c r="D268">
        <v>2</v>
      </c>
      <c r="E268">
        <v>3</v>
      </c>
      <c r="F268">
        <v>6</v>
      </c>
      <c r="G268" t="s">
        <v>1022</v>
      </c>
      <c r="H268" t="s">
        <v>1023</v>
      </c>
      <c r="I268" t="s">
        <v>1023</v>
      </c>
      <c r="J268" t="s">
        <v>1023</v>
      </c>
      <c r="K268" t="s">
        <v>1024</v>
      </c>
      <c r="L268">
        <v>1</v>
      </c>
      <c r="M268">
        <v>5</v>
      </c>
      <c r="N268">
        <v>3850000</v>
      </c>
      <c r="O268">
        <f>PropertyData[[#This Row],[Price]]/PropertyData[[#This Row],[Area_sqft]]</f>
        <v>3356.5823888404534</v>
      </c>
      <c r="P268" t="str">
        <f t="shared" si="4"/>
        <v>Budget</v>
      </c>
    </row>
    <row r="269" spans="1:16">
      <c r="A269" t="s">
        <v>281</v>
      </c>
      <c r="B269" t="s">
        <v>1016</v>
      </c>
      <c r="C269">
        <v>1106</v>
      </c>
      <c r="D269">
        <v>3</v>
      </c>
      <c r="E269">
        <v>2</v>
      </c>
      <c r="F269">
        <v>19</v>
      </c>
      <c r="G269" t="s">
        <v>1023</v>
      </c>
      <c r="H269" t="s">
        <v>1023</v>
      </c>
      <c r="I269" t="s">
        <v>1022</v>
      </c>
      <c r="J269" t="s">
        <v>1023</v>
      </c>
      <c r="K269" t="s">
        <v>1025</v>
      </c>
      <c r="L269">
        <v>5</v>
      </c>
      <c r="M269">
        <v>8</v>
      </c>
      <c r="N269">
        <v>4150000</v>
      </c>
      <c r="O269">
        <f>PropertyData[[#This Row],[Price]]/PropertyData[[#This Row],[Area_sqft]]</f>
        <v>3752.2603978300181</v>
      </c>
      <c r="P269" t="str">
        <f t="shared" si="4"/>
        <v>Budget</v>
      </c>
    </row>
    <row r="270" spans="1:16">
      <c r="A270" t="s">
        <v>282</v>
      </c>
      <c r="B270" t="s">
        <v>1015</v>
      </c>
      <c r="C270">
        <v>1464</v>
      </c>
      <c r="D270">
        <v>3</v>
      </c>
      <c r="E270">
        <v>2</v>
      </c>
      <c r="F270">
        <v>5</v>
      </c>
      <c r="G270" t="s">
        <v>1022</v>
      </c>
      <c r="H270" t="s">
        <v>1022</v>
      </c>
      <c r="I270" t="s">
        <v>1022</v>
      </c>
      <c r="J270" t="s">
        <v>1023</v>
      </c>
      <c r="K270" t="s">
        <v>1025</v>
      </c>
      <c r="L270">
        <v>10</v>
      </c>
      <c r="M270">
        <v>16</v>
      </c>
      <c r="N270">
        <v>5750000</v>
      </c>
      <c r="O270">
        <f>PropertyData[[#This Row],[Price]]/PropertyData[[#This Row],[Area_sqft]]</f>
        <v>3927.5956284153003</v>
      </c>
      <c r="P270" t="str">
        <f t="shared" si="4"/>
        <v>Mid-Range</v>
      </c>
    </row>
    <row r="271" spans="1:16">
      <c r="A271" t="s">
        <v>283</v>
      </c>
      <c r="B271" t="s">
        <v>1020</v>
      </c>
      <c r="C271">
        <v>932</v>
      </c>
      <c r="D271">
        <v>3</v>
      </c>
      <c r="E271">
        <v>2</v>
      </c>
      <c r="F271">
        <v>13</v>
      </c>
      <c r="G271" t="s">
        <v>1022</v>
      </c>
      <c r="H271" t="s">
        <v>1022</v>
      </c>
      <c r="I271" t="s">
        <v>1023</v>
      </c>
      <c r="J271" t="s">
        <v>1022</v>
      </c>
      <c r="K271" t="s">
        <v>1025</v>
      </c>
      <c r="L271">
        <v>2</v>
      </c>
      <c r="M271">
        <v>6</v>
      </c>
      <c r="N271">
        <v>5500000</v>
      </c>
      <c r="O271">
        <f>PropertyData[[#This Row],[Price]]/PropertyData[[#This Row],[Area_sqft]]</f>
        <v>5901.2875536480688</v>
      </c>
      <c r="P271" t="str">
        <f t="shared" si="4"/>
        <v>Mid-Range</v>
      </c>
    </row>
    <row r="272" spans="1:16">
      <c r="A272" t="s">
        <v>284</v>
      </c>
      <c r="B272" t="s">
        <v>1015</v>
      </c>
      <c r="C272">
        <v>872</v>
      </c>
      <c r="D272">
        <v>2</v>
      </c>
      <c r="E272">
        <v>1</v>
      </c>
      <c r="F272">
        <v>9</v>
      </c>
      <c r="G272" t="s">
        <v>1023</v>
      </c>
      <c r="H272" t="s">
        <v>1022</v>
      </c>
      <c r="I272" t="s">
        <v>1023</v>
      </c>
      <c r="J272" t="s">
        <v>1022</v>
      </c>
      <c r="K272" t="s">
        <v>1024</v>
      </c>
      <c r="L272">
        <v>2</v>
      </c>
      <c r="M272">
        <v>10</v>
      </c>
      <c r="N272">
        <v>2850000</v>
      </c>
      <c r="O272">
        <f>PropertyData[[#This Row],[Price]]/PropertyData[[#This Row],[Area_sqft]]</f>
        <v>3268.3486238532109</v>
      </c>
      <c r="P272" t="str">
        <f t="shared" si="4"/>
        <v>Budget</v>
      </c>
    </row>
    <row r="273" spans="1:16">
      <c r="A273" t="s">
        <v>285</v>
      </c>
      <c r="B273" t="s">
        <v>1019</v>
      </c>
      <c r="C273">
        <v>1265</v>
      </c>
      <c r="D273">
        <v>2</v>
      </c>
      <c r="E273">
        <v>2</v>
      </c>
      <c r="F273">
        <v>23</v>
      </c>
      <c r="G273" t="s">
        <v>1022</v>
      </c>
      <c r="H273" t="s">
        <v>1023</v>
      </c>
      <c r="I273" t="s">
        <v>1023</v>
      </c>
      <c r="J273" t="s">
        <v>1022</v>
      </c>
      <c r="K273" t="s">
        <v>1024</v>
      </c>
      <c r="L273">
        <v>19</v>
      </c>
      <c r="M273">
        <v>21</v>
      </c>
      <c r="N273">
        <v>9100000</v>
      </c>
      <c r="O273">
        <f>PropertyData[[#This Row],[Price]]/PropertyData[[#This Row],[Area_sqft]]</f>
        <v>7193.675889328063</v>
      </c>
      <c r="P273" t="str">
        <f t="shared" si="4"/>
        <v>Mid-Range</v>
      </c>
    </row>
    <row r="274" spans="1:16">
      <c r="A274" t="s">
        <v>286</v>
      </c>
      <c r="B274" t="s">
        <v>1019</v>
      </c>
      <c r="C274">
        <v>875</v>
      </c>
      <c r="D274">
        <v>3</v>
      </c>
      <c r="E274">
        <v>4</v>
      </c>
      <c r="F274">
        <v>21</v>
      </c>
      <c r="G274" t="s">
        <v>1022</v>
      </c>
      <c r="H274" t="s">
        <v>1022</v>
      </c>
      <c r="I274" t="s">
        <v>1023</v>
      </c>
      <c r="J274" t="s">
        <v>1022</v>
      </c>
      <c r="K274" t="s">
        <v>1025</v>
      </c>
      <c r="L274">
        <v>7</v>
      </c>
      <c r="M274">
        <v>23</v>
      </c>
      <c r="N274">
        <v>6350000</v>
      </c>
      <c r="O274">
        <f>PropertyData[[#This Row],[Price]]/PropertyData[[#This Row],[Area_sqft]]</f>
        <v>7257.1428571428569</v>
      </c>
      <c r="P274" t="str">
        <f t="shared" si="4"/>
        <v>Mid-Range</v>
      </c>
    </row>
    <row r="275" spans="1:16">
      <c r="A275" t="s">
        <v>287</v>
      </c>
      <c r="B275" t="s">
        <v>1014</v>
      </c>
      <c r="C275">
        <v>1356</v>
      </c>
      <c r="D275">
        <v>3</v>
      </c>
      <c r="E275">
        <v>3</v>
      </c>
      <c r="F275">
        <v>20</v>
      </c>
      <c r="G275" t="s">
        <v>1023</v>
      </c>
      <c r="H275" t="s">
        <v>1023</v>
      </c>
      <c r="I275" t="s">
        <v>1023</v>
      </c>
      <c r="J275" t="s">
        <v>1022</v>
      </c>
      <c r="K275" t="s">
        <v>1025</v>
      </c>
      <c r="L275">
        <v>3</v>
      </c>
      <c r="M275">
        <v>17</v>
      </c>
      <c r="N275">
        <v>7200000</v>
      </c>
      <c r="O275">
        <f>PropertyData[[#This Row],[Price]]/PropertyData[[#This Row],[Area_sqft]]</f>
        <v>5309.7345132743367</v>
      </c>
      <c r="P275" t="str">
        <f t="shared" si="4"/>
        <v>Mid-Range</v>
      </c>
    </row>
    <row r="276" spans="1:16">
      <c r="A276" t="s">
        <v>288</v>
      </c>
      <c r="B276" t="s">
        <v>1017</v>
      </c>
      <c r="C276">
        <v>1412</v>
      </c>
      <c r="D276">
        <v>3</v>
      </c>
      <c r="E276">
        <v>3</v>
      </c>
      <c r="F276">
        <v>8</v>
      </c>
      <c r="G276" t="s">
        <v>1022</v>
      </c>
      <c r="H276" t="s">
        <v>1023</v>
      </c>
      <c r="I276" t="s">
        <v>1023</v>
      </c>
      <c r="J276" t="s">
        <v>1023</v>
      </c>
      <c r="K276" t="s">
        <v>1024</v>
      </c>
      <c r="L276">
        <v>19</v>
      </c>
      <c r="M276">
        <v>22</v>
      </c>
      <c r="N276">
        <v>5800000</v>
      </c>
      <c r="O276">
        <f>PropertyData[[#This Row],[Price]]/PropertyData[[#This Row],[Area_sqft]]</f>
        <v>4107.6487252124643</v>
      </c>
      <c r="P276" t="str">
        <f t="shared" si="4"/>
        <v>Mid-Range</v>
      </c>
    </row>
    <row r="277" spans="1:16">
      <c r="A277" t="s">
        <v>289</v>
      </c>
      <c r="B277" t="s">
        <v>1021</v>
      </c>
      <c r="C277">
        <v>1410</v>
      </c>
      <c r="D277">
        <v>3</v>
      </c>
      <c r="E277">
        <v>4</v>
      </c>
      <c r="F277">
        <v>12</v>
      </c>
      <c r="G277" t="s">
        <v>1022</v>
      </c>
      <c r="H277" t="s">
        <v>1022</v>
      </c>
      <c r="I277" t="s">
        <v>1023</v>
      </c>
      <c r="J277" t="s">
        <v>1022</v>
      </c>
      <c r="K277" t="s">
        <v>1025</v>
      </c>
      <c r="L277">
        <v>18</v>
      </c>
      <c r="M277">
        <v>20</v>
      </c>
      <c r="N277">
        <v>8350000</v>
      </c>
      <c r="O277">
        <f>PropertyData[[#This Row],[Price]]/PropertyData[[#This Row],[Area_sqft]]</f>
        <v>5921.9858156028367</v>
      </c>
      <c r="P277" t="str">
        <f t="shared" si="4"/>
        <v>Mid-Range</v>
      </c>
    </row>
    <row r="278" spans="1:16">
      <c r="A278" t="s">
        <v>290</v>
      </c>
      <c r="B278" t="s">
        <v>1018</v>
      </c>
      <c r="C278">
        <v>902</v>
      </c>
      <c r="D278">
        <v>1</v>
      </c>
      <c r="E278">
        <v>1</v>
      </c>
      <c r="F278">
        <v>14</v>
      </c>
      <c r="G278" t="s">
        <v>1022</v>
      </c>
      <c r="H278" t="s">
        <v>1023</v>
      </c>
      <c r="I278" t="s">
        <v>1022</v>
      </c>
      <c r="J278" t="s">
        <v>1022</v>
      </c>
      <c r="K278" t="s">
        <v>1025</v>
      </c>
      <c r="L278">
        <v>13</v>
      </c>
      <c r="M278">
        <v>18</v>
      </c>
      <c r="N278">
        <v>4400000</v>
      </c>
      <c r="O278">
        <f>PropertyData[[#This Row],[Price]]/PropertyData[[#This Row],[Area_sqft]]</f>
        <v>4878.0487804878048</v>
      </c>
      <c r="P278" t="str">
        <f t="shared" si="4"/>
        <v>Budget</v>
      </c>
    </row>
    <row r="279" spans="1:16">
      <c r="A279" t="s">
        <v>291</v>
      </c>
      <c r="B279" t="s">
        <v>1014</v>
      </c>
      <c r="C279">
        <v>1555</v>
      </c>
      <c r="D279">
        <v>4</v>
      </c>
      <c r="E279">
        <v>4</v>
      </c>
      <c r="F279">
        <v>21</v>
      </c>
      <c r="G279" t="s">
        <v>1022</v>
      </c>
      <c r="H279" t="s">
        <v>1023</v>
      </c>
      <c r="I279" t="s">
        <v>1023</v>
      </c>
      <c r="J279" t="s">
        <v>1022</v>
      </c>
      <c r="K279" t="s">
        <v>1025</v>
      </c>
      <c r="L279">
        <v>20</v>
      </c>
      <c r="M279">
        <v>22</v>
      </c>
      <c r="N279">
        <v>9050000</v>
      </c>
      <c r="O279">
        <f>PropertyData[[#This Row],[Price]]/PropertyData[[#This Row],[Area_sqft]]</f>
        <v>5819.9356913183283</v>
      </c>
      <c r="P279" t="str">
        <f t="shared" si="4"/>
        <v>Mid-Range</v>
      </c>
    </row>
    <row r="280" spans="1:16">
      <c r="A280" t="s">
        <v>292</v>
      </c>
      <c r="B280" t="s">
        <v>1019</v>
      </c>
      <c r="C280">
        <v>1806</v>
      </c>
      <c r="D280">
        <v>4</v>
      </c>
      <c r="E280">
        <v>4</v>
      </c>
      <c r="F280">
        <v>8</v>
      </c>
      <c r="G280" t="s">
        <v>1022</v>
      </c>
      <c r="H280" t="s">
        <v>1023</v>
      </c>
      <c r="I280" t="s">
        <v>1023</v>
      </c>
      <c r="J280" t="s">
        <v>1022</v>
      </c>
      <c r="K280" t="s">
        <v>1025</v>
      </c>
      <c r="L280">
        <v>4</v>
      </c>
      <c r="M280">
        <v>11</v>
      </c>
      <c r="N280">
        <v>14550000</v>
      </c>
      <c r="O280">
        <f>PropertyData[[#This Row],[Price]]/PropertyData[[#This Row],[Area_sqft]]</f>
        <v>8056.4784053156145</v>
      </c>
      <c r="P280" t="str">
        <f t="shared" si="4"/>
        <v>Premium</v>
      </c>
    </row>
    <row r="281" spans="1:16">
      <c r="A281" t="s">
        <v>293</v>
      </c>
      <c r="B281" t="s">
        <v>1020</v>
      </c>
      <c r="C281">
        <v>1590</v>
      </c>
      <c r="D281">
        <v>3</v>
      </c>
      <c r="E281">
        <v>4</v>
      </c>
      <c r="F281">
        <v>19</v>
      </c>
      <c r="G281" t="s">
        <v>1022</v>
      </c>
      <c r="H281" t="s">
        <v>1023</v>
      </c>
      <c r="I281" t="s">
        <v>1023</v>
      </c>
      <c r="J281" t="s">
        <v>1022</v>
      </c>
      <c r="K281" t="s">
        <v>1025</v>
      </c>
      <c r="L281">
        <v>7</v>
      </c>
      <c r="M281">
        <v>15</v>
      </c>
      <c r="N281">
        <v>8450000</v>
      </c>
      <c r="O281">
        <f>PropertyData[[#This Row],[Price]]/PropertyData[[#This Row],[Area_sqft]]</f>
        <v>5314.4654088050311</v>
      </c>
      <c r="P281" t="str">
        <f t="shared" si="4"/>
        <v>Mid-Range</v>
      </c>
    </row>
    <row r="282" spans="1:16">
      <c r="A282" t="s">
        <v>294</v>
      </c>
      <c r="B282" t="s">
        <v>1014</v>
      </c>
      <c r="C282">
        <v>1465</v>
      </c>
      <c r="D282">
        <v>3</v>
      </c>
      <c r="E282">
        <v>2</v>
      </c>
      <c r="F282">
        <v>20</v>
      </c>
      <c r="G282" t="s">
        <v>1022</v>
      </c>
      <c r="H282" t="s">
        <v>1023</v>
      </c>
      <c r="I282" t="s">
        <v>1023</v>
      </c>
      <c r="J282" t="s">
        <v>1022</v>
      </c>
      <c r="K282" t="s">
        <v>1026</v>
      </c>
      <c r="L282">
        <v>10</v>
      </c>
      <c r="M282">
        <v>21</v>
      </c>
      <c r="N282">
        <v>10850000</v>
      </c>
      <c r="O282">
        <f>PropertyData[[#This Row],[Price]]/PropertyData[[#This Row],[Area_sqft]]</f>
        <v>7406.143344709898</v>
      </c>
      <c r="P282" t="str">
        <f t="shared" si="4"/>
        <v>Premium</v>
      </c>
    </row>
    <row r="283" spans="1:16">
      <c r="A283" t="s">
        <v>295</v>
      </c>
      <c r="B283" t="s">
        <v>1019</v>
      </c>
      <c r="C283">
        <v>1420</v>
      </c>
      <c r="D283">
        <v>3</v>
      </c>
      <c r="E283">
        <v>3</v>
      </c>
      <c r="F283">
        <v>1</v>
      </c>
      <c r="G283" t="s">
        <v>1022</v>
      </c>
      <c r="H283" t="s">
        <v>1023</v>
      </c>
      <c r="I283" t="s">
        <v>1023</v>
      </c>
      <c r="J283" t="s">
        <v>1022</v>
      </c>
      <c r="K283" t="s">
        <v>1025</v>
      </c>
      <c r="L283">
        <v>17</v>
      </c>
      <c r="M283">
        <v>18</v>
      </c>
      <c r="N283">
        <v>10650000</v>
      </c>
      <c r="O283">
        <f>PropertyData[[#This Row],[Price]]/PropertyData[[#This Row],[Area_sqft]]</f>
        <v>7500</v>
      </c>
      <c r="P283" t="str">
        <f t="shared" si="4"/>
        <v>Premium</v>
      </c>
    </row>
    <row r="284" spans="1:16">
      <c r="A284" t="s">
        <v>296</v>
      </c>
      <c r="B284" t="s">
        <v>1019</v>
      </c>
      <c r="C284">
        <v>1335</v>
      </c>
      <c r="D284">
        <v>3</v>
      </c>
      <c r="E284">
        <v>3</v>
      </c>
      <c r="F284">
        <v>29</v>
      </c>
      <c r="G284" t="s">
        <v>1022</v>
      </c>
      <c r="H284" t="s">
        <v>1022</v>
      </c>
      <c r="I284" t="s">
        <v>1023</v>
      </c>
      <c r="J284" t="s">
        <v>1022</v>
      </c>
      <c r="K284" t="s">
        <v>1025</v>
      </c>
      <c r="L284">
        <v>1</v>
      </c>
      <c r="M284">
        <v>14</v>
      </c>
      <c r="N284">
        <v>9300000</v>
      </c>
      <c r="O284">
        <f>PropertyData[[#This Row],[Price]]/PropertyData[[#This Row],[Area_sqft]]</f>
        <v>6966.2921348314603</v>
      </c>
      <c r="P284" t="str">
        <f t="shared" si="4"/>
        <v>Mid-Range</v>
      </c>
    </row>
    <row r="285" spans="1:16">
      <c r="A285" t="s">
        <v>297</v>
      </c>
      <c r="B285" t="s">
        <v>1018</v>
      </c>
      <c r="C285">
        <v>1537</v>
      </c>
      <c r="D285">
        <v>3</v>
      </c>
      <c r="E285">
        <v>4</v>
      </c>
      <c r="F285">
        <v>9</v>
      </c>
      <c r="G285" t="s">
        <v>1022</v>
      </c>
      <c r="H285" t="s">
        <v>1023</v>
      </c>
      <c r="I285" t="s">
        <v>1023</v>
      </c>
      <c r="J285" t="s">
        <v>1022</v>
      </c>
      <c r="K285" t="s">
        <v>1025</v>
      </c>
      <c r="L285">
        <v>6</v>
      </c>
      <c r="M285">
        <v>10</v>
      </c>
      <c r="N285">
        <v>8000000</v>
      </c>
      <c r="O285">
        <f>PropertyData[[#This Row],[Price]]/PropertyData[[#This Row],[Area_sqft]]</f>
        <v>5204.9446974625898</v>
      </c>
      <c r="P285" t="str">
        <f t="shared" si="4"/>
        <v>Mid-Range</v>
      </c>
    </row>
    <row r="286" spans="1:16">
      <c r="A286" t="s">
        <v>298</v>
      </c>
      <c r="B286" t="s">
        <v>1016</v>
      </c>
      <c r="C286">
        <v>1044</v>
      </c>
      <c r="D286">
        <v>3</v>
      </c>
      <c r="E286">
        <v>2</v>
      </c>
      <c r="F286">
        <v>28</v>
      </c>
      <c r="G286" t="s">
        <v>1023</v>
      </c>
      <c r="H286" t="s">
        <v>1022</v>
      </c>
      <c r="I286" t="s">
        <v>1023</v>
      </c>
      <c r="J286" t="s">
        <v>1022</v>
      </c>
      <c r="K286" t="s">
        <v>1025</v>
      </c>
      <c r="L286">
        <v>18</v>
      </c>
      <c r="M286">
        <v>23</v>
      </c>
      <c r="N286">
        <v>3950000</v>
      </c>
      <c r="O286">
        <f>PropertyData[[#This Row],[Price]]/PropertyData[[#This Row],[Area_sqft]]</f>
        <v>3783.5249042145592</v>
      </c>
      <c r="P286" t="str">
        <f t="shared" si="4"/>
        <v>Budget</v>
      </c>
    </row>
    <row r="287" spans="1:16">
      <c r="A287" t="s">
        <v>299</v>
      </c>
      <c r="B287" t="s">
        <v>1020</v>
      </c>
      <c r="C287">
        <v>2091</v>
      </c>
      <c r="D287">
        <v>4</v>
      </c>
      <c r="E287">
        <v>5</v>
      </c>
      <c r="F287">
        <v>17</v>
      </c>
      <c r="G287" t="s">
        <v>1023</v>
      </c>
      <c r="H287" t="s">
        <v>1022</v>
      </c>
      <c r="I287" t="s">
        <v>1023</v>
      </c>
      <c r="J287" t="s">
        <v>1022</v>
      </c>
      <c r="K287" t="s">
        <v>1026</v>
      </c>
      <c r="L287">
        <v>16</v>
      </c>
      <c r="M287">
        <v>19</v>
      </c>
      <c r="N287">
        <v>15950000</v>
      </c>
      <c r="O287">
        <f>PropertyData[[#This Row],[Price]]/PropertyData[[#This Row],[Area_sqft]]</f>
        <v>7627.9292204686753</v>
      </c>
      <c r="P287" t="str">
        <f t="shared" si="4"/>
        <v>Premium</v>
      </c>
    </row>
    <row r="288" spans="1:16">
      <c r="A288" t="s">
        <v>300</v>
      </c>
      <c r="B288" t="s">
        <v>1016</v>
      </c>
      <c r="C288">
        <v>1166</v>
      </c>
      <c r="D288">
        <v>3</v>
      </c>
      <c r="E288">
        <v>4</v>
      </c>
      <c r="F288">
        <v>19</v>
      </c>
      <c r="G288" t="s">
        <v>1023</v>
      </c>
      <c r="H288" t="s">
        <v>1023</v>
      </c>
      <c r="I288" t="s">
        <v>1023</v>
      </c>
      <c r="J288" t="s">
        <v>1022</v>
      </c>
      <c r="K288" t="s">
        <v>1025</v>
      </c>
      <c r="L288">
        <v>16</v>
      </c>
      <c r="M288">
        <v>20</v>
      </c>
      <c r="N288">
        <v>4500000</v>
      </c>
      <c r="O288">
        <f>PropertyData[[#This Row],[Price]]/PropertyData[[#This Row],[Area_sqft]]</f>
        <v>3859.3481989708403</v>
      </c>
      <c r="P288" t="str">
        <f t="shared" si="4"/>
        <v>Budget</v>
      </c>
    </row>
    <row r="289" spans="1:16">
      <c r="A289" t="s">
        <v>301</v>
      </c>
      <c r="B289" t="s">
        <v>1021</v>
      </c>
      <c r="C289">
        <v>614</v>
      </c>
      <c r="D289">
        <v>1</v>
      </c>
      <c r="E289">
        <v>1</v>
      </c>
      <c r="F289">
        <v>22</v>
      </c>
      <c r="G289" t="s">
        <v>1023</v>
      </c>
      <c r="H289" t="s">
        <v>1023</v>
      </c>
      <c r="I289" t="s">
        <v>1023</v>
      </c>
      <c r="J289" t="s">
        <v>1022</v>
      </c>
      <c r="K289" t="s">
        <v>1025</v>
      </c>
      <c r="L289">
        <v>10</v>
      </c>
      <c r="M289">
        <v>12</v>
      </c>
      <c r="N289">
        <v>3400000</v>
      </c>
      <c r="O289">
        <f>PropertyData[[#This Row],[Price]]/PropertyData[[#This Row],[Area_sqft]]</f>
        <v>5537.4592833876222</v>
      </c>
      <c r="P289" t="str">
        <f t="shared" si="4"/>
        <v>Budget</v>
      </c>
    </row>
    <row r="290" spans="1:16">
      <c r="A290" t="s">
        <v>302</v>
      </c>
      <c r="B290" t="s">
        <v>1020</v>
      </c>
      <c r="C290">
        <v>1668</v>
      </c>
      <c r="D290">
        <v>3</v>
      </c>
      <c r="E290">
        <v>3</v>
      </c>
      <c r="F290">
        <v>10</v>
      </c>
      <c r="G290" t="s">
        <v>1022</v>
      </c>
      <c r="H290" t="s">
        <v>1023</v>
      </c>
      <c r="I290" t="s">
        <v>1023</v>
      </c>
      <c r="J290" t="s">
        <v>1022</v>
      </c>
      <c r="K290" t="s">
        <v>1025</v>
      </c>
      <c r="L290">
        <v>2</v>
      </c>
      <c r="M290">
        <v>24</v>
      </c>
      <c r="N290">
        <v>10150000</v>
      </c>
      <c r="O290">
        <f>PropertyData[[#This Row],[Price]]/PropertyData[[#This Row],[Area_sqft]]</f>
        <v>6085.1318944844124</v>
      </c>
      <c r="P290" t="str">
        <f t="shared" si="4"/>
        <v>Premium</v>
      </c>
    </row>
    <row r="291" spans="1:16">
      <c r="A291" t="s">
        <v>303</v>
      </c>
      <c r="B291" t="s">
        <v>1016</v>
      </c>
      <c r="C291">
        <v>995</v>
      </c>
      <c r="D291">
        <v>2</v>
      </c>
      <c r="E291">
        <v>2</v>
      </c>
      <c r="F291">
        <v>21</v>
      </c>
      <c r="G291" t="s">
        <v>1023</v>
      </c>
      <c r="H291" t="s">
        <v>1023</v>
      </c>
      <c r="I291" t="s">
        <v>1023</v>
      </c>
      <c r="J291" t="s">
        <v>1022</v>
      </c>
      <c r="K291" t="s">
        <v>1025</v>
      </c>
      <c r="L291">
        <v>11</v>
      </c>
      <c r="M291">
        <v>23</v>
      </c>
      <c r="N291">
        <v>2950000</v>
      </c>
      <c r="O291">
        <f>PropertyData[[#This Row],[Price]]/PropertyData[[#This Row],[Area_sqft]]</f>
        <v>2964.8241206030152</v>
      </c>
      <c r="P291" t="str">
        <f t="shared" si="4"/>
        <v>Budget</v>
      </c>
    </row>
    <row r="292" spans="1:16">
      <c r="A292" t="s">
        <v>304</v>
      </c>
      <c r="B292" t="s">
        <v>1019</v>
      </c>
      <c r="C292">
        <v>1750</v>
      </c>
      <c r="D292">
        <v>4</v>
      </c>
      <c r="E292">
        <v>4</v>
      </c>
      <c r="F292">
        <v>8</v>
      </c>
      <c r="G292" t="s">
        <v>1022</v>
      </c>
      <c r="H292" t="s">
        <v>1023</v>
      </c>
      <c r="I292" t="s">
        <v>1022</v>
      </c>
      <c r="J292" t="s">
        <v>1022</v>
      </c>
      <c r="K292" t="s">
        <v>1025</v>
      </c>
      <c r="L292">
        <v>1</v>
      </c>
      <c r="M292">
        <v>8</v>
      </c>
      <c r="N292">
        <v>13000000</v>
      </c>
      <c r="O292">
        <f>PropertyData[[#This Row],[Price]]/PropertyData[[#This Row],[Area_sqft]]</f>
        <v>7428.5714285714284</v>
      </c>
      <c r="P292" t="str">
        <f t="shared" si="4"/>
        <v>Premium</v>
      </c>
    </row>
    <row r="293" spans="1:16">
      <c r="A293" t="s">
        <v>305</v>
      </c>
      <c r="B293" t="s">
        <v>1016</v>
      </c>
      <c r="C293">
        <v>1221</v>
      </c>
      <c r="D293">
        <v>2</v>
      </c>
      <c r="E293">
        <v>2</v>
      </c>
      <c r="F293">
        <v>13</v>
      </c>
      <c r="G293" t="s">
        <v>1022</v>
      </c>
      <c r="H293" t="s">
        <v>1023</v>
      </c>
      <c r="I293" t="s">
        <v>1022</v>
      </c>
      <c r="J293" t="s">
        <v>1022</v>
      </c>
      <c r="K293" t="s">
        <v>1025</v>
      </c>
      <c r="L293">
        <v>15</v>
      </c>
      <c r="M293">
        <v>22</v>
      </c>
      <c r="N293">
        <v>6050000</v>
      </c>
      <c r="O293">
        <f>PropertyData[[#This Row],[Price]]/PropertyData[[#This Row],[Area_sqft]]</f>
        <v>4954.9549549549547</v>
      </c>
      <c r="P293" t="str">
        <f t="shared" si="4"/>
        <v>Mid-Range</v>
      </c>
    </row>
    <row r="294" spans="1:16">
      <c r="A294" t="s">
        <v>306</v>
      </c>
      <c r="B294" t="s">
        <v>1015</v>
      </c>
      <c r="C294">
        <v>1294</v>
      </c>
      <c r="D294">
        <v>4</v>
      </c>
      <c r="E294">
        <v>4</v>
      </c>
      <c r="F294">
        <v>12</v>
      </c>
      <c r="G294" t="s">
        <v>1022</v>
      </c>
      <c r="H294" t="s">
        <v>1023</v>
      </c>
      <c r="I294" t="s">
        <v>1023</v>
      </c>
      <c r="J294" t="s">
        <v>1022</v>
      </c>
      <c r="K294" t="s">
        <v>1024</v>
      </c>
      <c r="L294">
        <v>11</v>
      </c>
      <c r="M294">
        <v>18</v>
      </c>
      <c r="N294">
        <v>4600000</v>
      </c>
      <c r="O294">
        <f>PropertyData[[#This Row],[Price]]/PropertyData[[#This Row],[Area_sqft]]</f>
        <v>3554.8686244204018</v>
      </c>
      <c r="P294" t="str">
        <f t="shared" si="4"/>
        <v>Budget</v>
      </c>
    </row>
    <row r="295" spans="1:16">
      <c r="A295" t="s">
        <v>307</v>
      </c>
      <c r="B295" t="s">
        <v>1016</v>
      </c>
      <c r="C295">
        <v>654</v>
      </c>
      <c r="D295">
        <v>1</v>
      </c>
      <c r="E295">
        <v>2</v>
      </c>
      <c r="F295">
        <v>19</v>
      </c>
      <c r="G295" t="s">
        <v>1023</v>
      </c>
      <c r="H295" t="s">
        <v>1023</v>
      </c>
      <c r="I295" t="s">
        <v>1023</v>
      </c>
      <c r="J295" t="s">
        <v>1022</v>
      </c>
      <c r="K295" t="s">
        <v>1025</v>
      </c>
      <c r="L295">
        <v>13</v>
      </c>
      <c r="M295">
        <v>23</v>
      </c>
      <c r="N295">
        <v>2550000</v>
      </c>
      <c r="O295">
        <f>PropertyData[[#This Row],[Price]]/PropertyData[[#This Row],[Area_sqft]]</f>
        <v>3899.0825688073396</v>
      </c>
      <c r="P295" t="str">
        <f t="shared" si="4"/>
        <v>Budget</v>
      </c>
    </row>
    <row r="296" spans="1:16">
      <c r="A296" t="s">
        <v>308</v>
      </c>
      <c r="B296" t="s">
        <v>1014</v>
      </c>
      <c r="C296">
        <v>1095</v>
      </c>
      <c r="D296">
        <v>2</v>
      </c>
      <c r="E296">
        <v>1</v>
      </c>
      <c r="F296">
        <v>22</v>
      </c>
      <c r="G296" t="s">
        <v>1022</v>
      </c>
      <c r="H296" t="s">
        <v>1023</v>
      </c>
      <c r="I296" t="s">
        <v>1023</v>
      </c>
      <c r="J296" t="s">
        <v>1022</v>
      </c>
      <c r="K296" t="s">
        <v>1024</v>
      </c>
      <c r="L296">
        <v>7</v>
      </c>
      <c r="M296">
        <v>18</v>
      </c>
      <c r="N296">
        <v>7950000</v>
      </c>
      <c r="O296">
        <f>PropertyData[[#This Row],[Price]]/PropertyData[[#This Row],[Area_sqft]]</f>
        <v>7260.2739726027394</v>
      </c>
      <c r="P296" t="str">
        <f t="shared" si="4"/>
        <v>Mid-Range</v>
      </c>
    </row>
    <row r="297" spans="1:16">
      <c r="A297" t="s">
        <v>309</v>
      </c>
      <c r="B297" t="s">
        <v>1020</v>
      </c>
      <c r="C297">
        <v>1712</v>
      </c>
      <c r="D297">
        <v>4</v>
      </c>
      <c r="E297">
        <v>5</v>
      </c>
      <c r="F297">
        <v>17</v>
      </c>
      <c r="G297" t="s">
        <v>1022</v>
      </c>
      <c r="H297" t="s">
        <v>1022</v>
      </c>
      <c r="I297" t="s">
        <v>1023</v>
      </c>
      <c r="J297" t="s">
        <v>1022</v>
      </c>
      <c r="K297" t="s">
        <v>1024</v>
      </c>
      <c r="L297">
        <v>10</v>
      </c>
      <c r="M297">
        <v>13</v>
      </c>
      <c r="N297">
        <v>11200000</v>
      </c>
      <c r="O297">
        <f>PropertyData[[#This Row],[Price]]/PropertyData[[#This Row],[Area_sqft]]</f>
        <v>6542.0560747663549</v>
      </c>
      <c r="P297" t="str">
        <f t="shared" si="4"/>
        <v>Premium</v>
      </c>
    </row>
    <row r="298" spans="1:16">
      <c r="A298" t="s">
        <v>310</v>
      </c>
      <c r="B298" t="s">
        <v>1014</v>
      </c>
      <c r="C298">
        <v>2138</v>
      </c>
      <c r="D298">
        <v>5</v>
      </c>
      <c r="E298">
        <v>4</v>
      </c>
      <c r="F298">
        <v>23</v>
      </c>
      <c r="G298" t="s">
        <v>1022</v>
      </c>
      <c r="H298" t="s">
        <v>1022</v>
      </c>
      <c r="I298" t="s">
        <v>1023</v>
      </c>
      <c r="J298" t="s">
        <v>1022</v>
      </c>
      <c r="K298" t="s">
        <v>1025</v>
      </c>
      <c r="L298">
        <v>10</v>
      </c>
      <c r="M298">
        <v>16</v>
      </c>
      <c r="N298">
        <v>13950000</v>
      </c>
      <c r="O298">
        <f>PropertyData[[#This Row],[Price]]/PropertyData[[#This Row],[Area_sqft]]</f>
        <v>6524.7895229186151</v>
      </c>
      <c r="P298" t="str">
        <f t="shared" si="4"/>
        <v>Premium</v>
      </c>
    </row>
    <row r="299" spans="1:16">
      <c r="A299" t="s">
        <v>311</v>
      </c>
      <c r="B299" t="s">
        <v>1016</v>
      </c>
      <c r="C299">
        <v>1457</v>
      </c>
      <c r="D299">
        <v>3</v>
      </c>
      <c r="E299">
        <v>3</v>
      </c>
      <c r="F299">
        <v>30</v>
      </c>
      <c r="G299" t="s">
        <v>1023</v>
      </c>
      <c r="H299" t="s">
        <v>1022</v>
      </c>
      <c r="I299" t="s">
        <v>1023</v>
      </c>
      <c r="J299" t="s">
        <v>1022</v>
      </c>
      <c r="K299" t="s">
        <v>1025</v>
      </c>
      <c r="L299">
        <v>2</v>
      </c>
      <c r="M299">
        <v>24</v>
      </c>
      <c r="N299">
        <v>5250000</v>
      </c>
      <c r="O299">
        <f>PropertyData[[#This Row],[Price]]/PropertyData[[#This Row],[Area_sqft]]</f>
        <v>3603.2944406314346</v>
      </c>
      <c r="P299" t="str">
        <f t="shared" si="4"/>
        <v>Mid-Range</v>
      </c>
    </row>
    <row r="300" spans="1:16">
      <c r="A300" t="s">
        <v>312</v>
      </c>
      <c r="B300" t="s">
        <v>1021</v>
      </c>
      <c r="C300">
        <v>1622</v>
      </c>
      <c r="D300">
        <v>3</v>
      </c>
      <c r="E300">
        <v>4</v>
      </c>
      <c r="F300">
        <v>13</v>
      </c>
      <c r="G300" t="s">
        <v>1022</v>
      </c>
      <c r="H300" t="s">
        <v>1022</v>
      </c>
      <c r="I300" t="s">
        <v>1022</v>
      </c>
      <c r="J300" t="s">
        <v>1023</v>
      </c>
      <c r="K300" t="s">
        <v>1025</v>
      </c>
      <c r="L300">
        <v>1</v>
      </c>
      <c r="M300">
        <v>24</v>
      </c>
      <c r="N300">
        <v>10100000</v>
      </c>
      <c r="O300">
        <f>PropertyData[[#This Row],[Price]]/PropertyData[[#This Row],[Area_sqft]]</f>
        <v>6226.8803945745994</v>
      </c>
      <c r="P300" t="str">
        <f t="shared" si="4"/>
        <v>Premium</v>
      </c>
    </row>
    <row r="301" spans="1:16">
      <c r="A301" t="s">
        <v>313</v>
      </c>
      <c r="B301" t="s">
        <v>1014</v>
      </c>
      <c r="C301">
        <v>1594</v>
      </c>
      <c r="D301">
        <v>4</v>
      </c>
      <c r="E301">
        <v>4</v>
      </c>
      <c r="F301">
        <v>21</v>
      </c>
      <c r="G301" t="s">
        <v>1022</v>
      </c>
      <c r="H301" t="s">
        <v>1023</v>
      </c>
      <c r="I301" t="s">
        <v>1023</v>
      </c>
      <c r="J301" t="s">
        <v>1022</v>
      </c>
      <c r="K301" t="s">
        <v>1025</v>
      </c>
      <c r="L301">
        <v>15</v>
      </c>
      <c r="M301">
        <v>24</v>
      </c>
      <c r="N301">
        <v>8750000</v>
      </c>
      <c r="O301">
        <f>PropertyData[[#This Row],[Price]]/PropertyData[[#This Row],[Area_sqft]]</f>
        <v>5489.3350062735253</v>
      </c>
      <c r="P301" t="str">
        <f t="shared" si="4"/>
        <v>Mid-Range</v>
      </c>
    </row>
    <row r="302" spans="1:16">
      <c r="A302" t="s">
        <v>314</v>
      </c>
      <c r="B302" t="s">
        <v>1014</v>
      </c>
      <c r="C302">
        <v>836</v>
      </c>
      <c r="D302">
        <v>2</v>
      </c>
      <c r="E302">
        <v>3</v>
      </c>
      <c r="F302">
        <v>17</v>
      </c>
      <c r="G302" t="s">
        <v>1022</v>
      </c>
      <c r="H302" t="s">
        <v>1023</v>
      </c>
      <c r="I302" t="s">
        <v>1023</v>
      </c>
      <c r="J302" t="s">
        <v>1022</v>
      </c>
      <c r="K302" t="s">
        <v>1025</v>
      </c>
      <c r="L302">
        <v>7</v>
      </c>
      <c r="M302">
        <v>9</v>
      </c>
      <c r="N302">
        <v>5150000</v>
      </c>
      <c r="O302">
        <f>PropertyData[[#This Row],[Price]]/PropertyData[[#This Row],[Area_sqft]]</f>
        <v>6160.287081339713</v>
      </c>
      <c r="P302" t="str">
        <f t="shared" si="4"/>
        <v>Mid-Range</v>
      </c>
    </row>
    <row r="303" spans="1:16">
      <c r="A303" t="s">
        <v>315</v>
      </c>
      <c r="B303" t="s">
        <v>1018</v>
      </c>
      <c r="C303">
        <v>1128</v>
      </c>
      <c r="D303">
        <v>2</v>
      </c>
      <c r="E303">
        <v>2</v>
      </c>
      <c r="F303">
        <v>7</v>
      </c>
      <c r="G303" t="s">
        <v>1022</v>
      </c>
      <c r="H303" t="s">
        <v>1023</v>
      </c>
      <c r="I303" t="s">
        <v>1022</v>
      </c>
      <c r="J303" t="s">
        <v>1022</v>
      </c>
      <c r="K303" t="s">
        <v>1025</v>
      </c>
      <c r="L303">
        <v>14</v>
      </c>
      <c r="M303">
        <v>19</v>
      </c>
      <c r="N303">
        <v>4900000</v>
      </c>
      <c r="O303">
        <f>PropertyData[[#This Row],[Price]]/PropertyData[[#This Row],[Area_sqft]]</f>
        <v>4343.9716312056735</v>
      </c>
      <c r="P303" t="str">
        <f t="shared" si="4"/>
        <v>Budget</v>
      </c>
    </row>
    <row r="304" spans="1:16">
      <c r="A304" t="s">
        <v>316</v>
      </c>
      <c r="B304" t="s">
        <v>1016</v>
      </c>
      <c r="C304">
        <v>1589</v>
      </c>
      <c r="D304">
        <v>4</v>
      </c>
      <c r="E304">
        <v>5</v>
      </c>
      <c r="F304">
        <v>5</v>
      </c>
      <c r="G304" t="s">
        <v>1023</v>
      </c>
      <c r="H304" t="s">
        <v>1022</v>
      </c>
      <c r="I304" t="s">
        <v>1023</v>
      </c>
      <c r="J304" t="s">
        <v>1022</v>
      </c>
      <c r="K304" t="s">
        <v>1026</v>
      </c>
      <c r="L304">
        <v>2</v>
      </c>
      <c r="M304">
        <v>17</v>
      </c>
      <c r="N304">
        <v>10500000</v>
      </c>
      <c r="O304">
        <f>PropertyData[[#This Row],[Price]]/PropertyData[[#This Row],[Area_sqft]]</f>
        <v>6607.929515418502</v>
      </c>
      <c r="P304" t="str">
        <f t="shared" si="4"/>
        <v>Premium</v>
      </c>
    </row>
    <row r="305" spans="1:16">
      <c r="A305" t="s">
        <v>317</v>
      </c>
      <c r="B305" t="s">
        <v>1015</v>
      </c>
      <c r="C305">
        <v>1225</v>
      </c>
      <c r="D305">
        <v>3</v>
      </c>
      <c r="E305">
        <v>2</v>
      </c>
      <c r="F305">
        <v>9</v>
      </c>
      <c r="G305" t="s">
        <v>1022</v>
      </c>
      <c r="H305" t="s">
        <v>1022</v>
      </c>
      <c r="I305" t="s">
        <v>1023</v>
      </c>
      <c r="J305" t="s">
        <v>1023</v>
      </c>
      <c r="K305" t="s">
        <v>1024</v>
      </c>
      <c r="L305">
        <v>5</v>
      </c>
      <c r="M305">
        <v>24</v>
      </c>
      <c r="N305">
        <v>5100000</v>
      </c>
      <c r="O305">
        <f>PropertyData[[#This Row],[Price]]/PropertyData[[#This Row],[Area_sqft]]</f>
        <v>4163.2653061224491</v>
      </c>
      <c r="P305" t="str">
        <f t="shared" si="4"/>
        <v>Mid-Range</v>
      </c>
    </row>
    <row r="306" spans="1:16">
      <c r="A306" t="s">
        <v>318</v>
      </c>
      <c r="B306" t="s">
        <v>1020</v>
      </c>
      <c r="C306">
        <v>985</v>
      </c>
      <c r="D306">
        <v>2</v>
      </c>
      <c r="E306">
        <v>3</v>
      </c>
      <c r="F306">
        <v>21</v>
      </c>
      <c r="G306" t="s">
        <v>1023</v>
      </c>
      <c r="H306" t="s">
        <v>1023</v>
      </c>
      <c r="I306" t="s">
        <v>1023</v>
      </c>
      <c r="J306" t="s">
        <v>1022</v>
      </c>
      <c r="K306" t="s">
        <v>1025</v>
      </c>
      <c r="L306">
        <v>20</v>
      </c>
      <c r="M306">
        <v>24</v>
      </c>
      <c r="N306">
        <v>5700000</v>
      </c>
      <c r="O306">
        <f>PropertyData[[#This Row],[Price]]/PropertyData[[#This Row],[Area_sqft]]</f>
        <v>5786.8020304568527</v>
      </c>
      <c r="P306" t="str">
        <f t="shared" si="4"/>
        <v>Mid-Range</v>
      </c>
    </row>
    <row r="307" spans="1:16">
      <c r="A307" t="s">
        <v>319</v>
      </c>
      <c r="B307" t="s">
        <v>1020</v>
      </c>
      <c r="C307">
        <v>1344</v>
      </c>
      <c r="D307">
        <v>3</v>
      </c>
      <c r="E307">
        <v>4</v>
      </c>
      <c r="F307">
        <v>17</v>
      </c>
      <c r="G307" t="s">
        <v>1023</v>
      </c>
      <c r="H307" t="s">
        <v>1023</v>
      </c>
      <c r="I307" t="s">
        <v>1023</v>
      </c>
      <c r="J307" t="s">
        <v>1023</v>
      </c>
      <c r="K307" t="s">
        <v>1025</v>
      </c>
      <c r="L307">
        <v>15</v>
      </c>
      <c r="M307">
        <v>21</v>
      </c>
      <c r="N307">
        <v>7000000</v>
      </c>
      <c r="O307">
        <f>PropertyData[[#This Row],[Price]]/PropertyData[[#This Row],[Area_sqft]]</f>
        <v>5208.333333333333</v>
      </c>
      <c r="P307" t="str">
        <f t="shared" si="4"/>
        <v>Mid-Range</v>
      </c>
    </row>
    <row r="308" spans="1:16">
      <c r="A308" t="s">
        <v>320</v>
      </c>
      <c r="B308" t="s">
        <v>1017</v>
      </c>
      <c r="C308">
        <v>1364</v>
      </c>
      <c r="D308">
        <v>3</v>
      </c>
      <c r="E308">
        <v>3</v>
      </c>
      <c r="F308">
        <v>29</v>
      </c>
      <c r="G308" t="s">
        <v>1023</v>
      </c>
      <c r="H308" t="s">
        <v>1023</v>
      </c>
      <c r="I308" t="s">
        <v>1023</v>
      </c>
      <c r="J308" t="s">
        <v>1023</v>
      </c>
      <c r="K308" t="s">
        <v>1025</v>
      </c>
      <c r="L308">
        <v>13</v>
      </c>
      <c r="M308">
        <v>23</v>
      </c>
      <c r="N308">
        <v>4150000</v>
      </c>
      <c r="O308">
        <f>PropertyData[[#This Row],[Price]]/PropertyData[[#This Row],[Area_sqft]]</f>
        <v>3042.5219941348973</v>
      </c>
      <c r="P308" t="str">
        <f t="shared" si="4"/>
        <v>Budget</v>
      </c>
    </row>
    <row r="309" spans="1:16">
      <c r="A309" t="s">
        <v>321</v>
      </c>
      <c r="B309" t="s">
        <v>1017</v>
      </c>
      <c r="C309">
        <v>1233</v>
      </c>
      <c r="D309">
        <v>1</v>
      </c>
      <c r="E309">
        <v>1</v>
      </c>
      <c r="F309">
        <v>8</v>
      </c>
      <c r="G309" t="s">
        <v>1022</v>
      </c>
      <c r="H309" t="s">
        <v>1023</v>
      </c>
      <c r="I309" t="s">
        <v>1022</v>
      </c>
      <c r="J309" t="s">
        <v>1022</v>
      </c>
      <c r="K309" t="s">
        <v>1024</v>
      </c>
      <c r="L309">
        <v>1</v>
      </c>
      <c r="M309">
        <v>21</v>
      </c>
      <c r="N309">
        <v>5700000</v>
      </c>
      <c r="O309">
        <f>PropertyData[[#This Row],[Price]]/PropertyData[[#This Row],[Area_sqft]]</f>
        <v>4622.8710462287108</v>
      </c>
      <c r="P309" t="str">
        <f t="shared" si="4"/>
        <v>Mid-Range</v>
      </c>
    </row>
    <row r="310" spans="1:16">
      <c r="A310" t="s">
        <v>322</v>
      </c>
      <c r="B310" t="s">
        <v>1020</v>
      </c>
      <c r="C310">
        <v>910</v>
      </c>
      <c r="D310">
        <v>2</v>
      </c>
      <c r="E310">
        <v>2</v>
      </c>
      <c r="F310">
        <v>14</v>
      </c>
      <c r="G310" t="s">
        <v>1022</v>
      </c>
      <c r="H310" t="s">
        <v>1023</v>
      </c>
      <c r="I310" t="s">
        <v>1023</v>
      </c>
      <c r="J310" t="s">
        <v>1022</v>
      </c>
      <c r="K310" t="s">
        <v>1024</v>
      </c>
      <c r="L310">
        <v>12</v>
      </c>
      <c r="M310">
        <v>12</v>
      </c>
      <c r="N310">
        <v>6600000</v>
      </c>
      <c r="O310">
        <f>PropertyData[[#This Row],[Price]]/PropertyData[[#This Row],[Area_sqft]]</f>
        <v>7252.7472527472528</v>
      </c>
      <c r="P310" t="str">
        <f t="shared" si="4"/>
        <v>Mid-Range</v>
      </c>
    </row>
    <row r="311" spans="1:16">
      <c r="A311" t="s">
        <v>323</v>
      </c>
      <c r="B311" t="s">
        <v>1021</v>
      </c>
      <c r="C311">
        <v>1394</v>
      </c>
      <c r="D311">
        <v>2</v>
      </c>
      <c r="E311">
        <v>2</v>
      </c>
      <c r="F311">
        <v>0</v>
      </c>
      <c r="G311" t="s">
        <v>1022</v>
      </c>
      <c r="H311" t="s">
        <v>1023</v>
      </c>
      <c r="I311" t="s">
        <v>1023</v>
      </c>
      <c r="J311" t="s">
        <v>1023</v>
      </c>
      <c r="K311" t="s">
        <v>1024</v>
      </c>
      <c r="L311">
        <v>6</v>
      </c>
      <c r="M311">
        <v>23</v>
      </c>
      <c r="N311">
        <v>10450000</v>
      </c>
      <c r="O311">
        <f>PropertyData[[#This Row],[Price]]/PropertyData[[#This Row],[Area_sqft]]</f>
        <v>7496.4131994261115</v>
      </c>
      <c r="P311" t="str">
        <f t="shared" si="4"/>
        <v>Premium</v>
      </c>
    </row>
    <row r="312" spans="1:16">
      <c r="A312" t="s">
        <v>324</v>
      </c>
      <c r="B312" t="s">
        <v>1015</v>
      </c>
      <c r="C312">
        <v>1639</v>
      </c>
      <c r="D312">
        <v>4</v>
      </c>
      <c r="E312">
        <v>3</v>
      </c>
      <c r="F312">
        <v>23</v>
      </c>
      <c r="G312" t="s">
        <v>1022</v>
      </c>
      <c r="H312" t="s">
        <v>1023</v>
      </c>
      <c r="I312" t="s">
        <v>1023</v>
      </c>
      <c r="J312" t="s">
        <v>1023</v>
      </c>
      <c r="K312" t="s">
        <v>1025</v>
      </c>
      <c r="L312">
        <v>17</v>
      </c>
      <c r="M312">
        <v>22</v>
      </c>
      <c r="N312">
        <v>4000000</v>
      </c>
      <c r="O312">
        <f>PropertyData[[#This Row],[Price]]/PropertyData[[#This Row],[Area_sqft]]</f>
        <v>2440.5125076266017</v>
      </c>
      <c r="P312" t="str">
        <f t="shared" si="4"/>
        <v>Budget</v>
      </c>
    </row>
    <row r="313" spans="1:16">
      <c r="A313" t="s">
        <v>325</v>
      </c>
      <c r="B313" t="s">
        <v>1021</v>
      </c>
      <c r="C313">
        <v>1109</v>
      </c>
      <c r="D313">
        <v>2</v>
      </c>
      <c r="E313">
        <v>3</v>
      </c>
      <c r="F313">
        <v>25</v>
      </c>
      <c r="G313" t="s">
        <v>1023</v>
      </c>
      <c r="H313" t="s">
        <v>1022</v>
      </c>
      <c r="I313" t="s">
        <v>1023</v>
      </c>
      <c r="J313" t="s">
        <v>1022</v>
      </c>
      <c r="K313" t="s">
        <v>1025</v>
      </c>
      <c r="L313">
        <v>17</v>
      </c>
      <c r="M313">
        <v>17</v>
      </c>
      <c r="N313">
        <v>5950000</v>
      </c>
      <c r="O313">
        <f>PropertyData[[#This Row],[Price]]/PropertyData[[#This Row],[Area_sqft]]</f>
        <v>5365.1938683498647</v>
      </c>
      <c r="P313" t="str">
        <f t="shared" si="4"/>
        <v>Mid-Range</v>
      </c>
    </row>
    <row r="314" spans="1:16">
      <c r="A314" t="s">
        <v>326</v>
      </c>
      <c r="B314" t="s">
        <v>1016</v>
      </c>
      <c r="C314">
        <v>2023</v>
      </c>
      <c r="D314">
        <v>5</v>
      </c>
      <c r="E314">
        <v>5</v>
      </c>
      <c r="F314">
        <v>23</v>
      </c>
      <c r="G314" t="s">
        <v>1022</v>
      </c>
      <c r="H314" t="s">
        <v>1022</v>
      </c>
      <c r="I314" t="s">
        <v>1023</v>
      </c>
      <c r="J314" t="s">
        <v>1023</v>
      </c>
      <c r="K314" t="s">
        <v>1024</v>
      </c>
      <c r="L314">
        <v>12</v>
      </c>
      <c r="M314">
        <v>19</v>
      </c>
      <c r="N314">
        <v>9000000</v>
      </c>
      <c r="O314">
        <f>PropertyData[[#This Row],[Price]]/PropertyData[[#This Row],[Area_sqft]]</f>
        <v>4448.8383588729612</v>
      </c>
      <c r="P314" t="str">
        <f t="shared" si="4"/>
        <v>Mid-Range</v>
      </c>
    </row>
    <row r="315" spans="1:16">
      <c r="A315" t="s">
        <v>327</v>
      </c>
      <c r="B315" t="s">
        <v>1018</v>
      </c>
      <c r="C315">
        <v>1660</v>
      </c>
      <c r="D315">
        <v>4</v>
      </c>
      <c r="E315">
        <v>4</v>
      </c>
      <c r="F315">
        <v>23</v>
      </c>
      <c r="G315" t="s">
        <v>1022</v>
      </c>
      <c r="H315" t="s">
        <v>1022</v>
      </c>
      <c r="I315" t="s">
        <v>1023</v>
      </c>
      <c r="J315" t="s">
        <v>1022</v>
      </c>
      <c r="K315" t="s">
        <v>1025</v>
      </c>
      <c r="L315">
        <v>2</v>
      </c>
      <c r="M315">
        <v>4</v>
      </c>
      <c r="N315">
        <v>7350000</v>
      </c>
      <c r="O315">
        <f>PropertyData[[#This Row],[Price]]/PropertyData[[#This Row],[Area_sqft]]</f>
        <v>4427.7108433734938</v>
      </c>
      <c r="P315" t="str">
        <f t="shared" si="4"/>
        <v>Mid-Range</v>
      </c>
    </row>
    <row r="316" spans="1:16">
      <c r="A316" t="s">
        <v>328</v>
      </c>
      <c r="B316" t="s">
        <v>1019</v>
      </c>
      <c r="C316">
        <v>948</v>
      </c>
      <c r="D316">
        <v>1</v>
      </c>
      <c r="E316">
        <v>1</v>
      </c>
      <c r="F316">
        <v>9</v>
      </c>
      <c r="G316" t="s">
        <v>1022</v>
      </c>
      <c r="H316" t="s">
        <v>1022</v>
      </c>
      <c r="I316" t="s">
        <v>1022</v>
      </c>
      <c r="J316" t="s">
        <v>1023</v>
      </c>
      <c r="K316" t="s">
        <v>1025</v>
      </c>
      <c r="L316">
        <v>17</v>
      </c>
      <c r="M316">
        <v>23</v>
      </c>
      <c r="N316">
        <v>8450000</v>
      </c>
      <c r="O316">
        <f>PropertyData[[#This Row],[Price]]/PropertyData[[#This Row],[Area_sqft]]</f>
        <v>8913.502109704641</v>
      </c>
      <c r="P316" t="str">
        <f t="shared" si="4"/>
        <v>Mid-Range</v>
      </c>
    </row>
    <row r="317" spans="1:16">
      <c r="A317" t="s">
        <v>329</v>
      </c>
      <c r="B317" t="s">
        <v>1021</v>
      </c>
      <c r="C317">
        <v>1480</v>
      </c>
      <c r="D317">
        <v>3</v>
      </c>
      <c r="E317">
        <v>3</v>
      </c>
      <c r="F317">
        <v>17</v>
      </c>
      <c r="G317" t="s">
        <v>1023</v>
      </c>
      <c r="H317" t="s">
        <v>1023</v>
      </c>
      <c r="I317" t="s">
        <v>1023</v>
      </c>
      <c r="J317" t="s">
        <v>1022</v>
      </c>
      <c r="K317" t="s">
        <v>1025</v>
      </c>
      <c r="L317">
        <v>1</v>
      </c>
      <c r="M317">
        <v>23</v>
      </c>
      <c r="N317">
        <v>8150000</v>
      </c>
      <c r="O317">
        <f>PropertyData[[#This Row],[Price]]/PropertyData[[#This Row],[Area_sqft]]</f>
        <v>5506.7567567567567</v>
      </c>
      <c r="P317" t="str">
        <f t="shared" si="4"/>
        <v>Mid-Range</v>
      </c>
    </row>
    <row r="318" spans="1:16">
      <c r="A318" t="s">
        <v>330</v>
      </c>
      <c r="B318" t="s">
        <v>1020</v>
      </c>
      <c r="C318">
        <v>1970</v>
      </c>
      <c r="D318">
        <v>4</v>
      </c>
      <c r="E318">
        <v>5</v>
      </c>
      <c r="F318">
        <v>21</v>
      </c>
      <c r="G318" t="s">
        <v>1022</v>
      </c>
      <c r="H318" t="s">
        <v>1022</v>
      </c>
      <c r="I318" t="s">
        <v>1022</v>
      </c>
      <c r="J318" t="s">
        <v>1022</v>
      </c>
      <c r="K318" t="s">
        <v>1024</v>
      </c>
      <c r="L318">
        <v>14</v>
      </c>
      <c r="M318">
        <v>17</v>
      </c>
      <c r="N318">
        <v>13750000</v>
      </c>
      <c r="O318">
        <f>PropertyData[[#This Row],[Price]]/PropertyData[[#This Row],[Area_sqft]]</f>
        <v>6979.6954314720815</v>
      </c>
      <c r="P318" t="str">
        <f t="shared" si="4"/>
        <v>Premium</v>
      </c>
    </row>
    <row r="319" spans="1:16">
      <c r="A319" t="s">
        <v>331</v>
      </c>
      <c r="B319" t="s">
        <v>1014</v>
      </c>
      <c r="C319">
        <v>761</v>
      </c>
      <c r="D319">
        <v>2</v>
      </c>
      <c r="E319">
        <v>1</v>
      </c>
      <c r="F319">
        <v>10</v>
      </c>
      <c r="G319" t="s">
        <v>1022</v>
      </c>
      <c r="H319" t="s">
        <v>1023</v>
      </c>
      <c r="I319" t="s">
        <v>1023</v>
      </c>
      <c r="J319" t="s">
        <v>1023</v>
      </c>
      <c r="K319" t="s">
        <v>1025</v>
      </c>
      <c r="L319">
        <v>3</v>
      </c>
      <c r="M319">
        <v>24</v>
      </c>
      <c r="N319">
        <v>4600000</v>
      </c>
      <c r="O319">
        <f>PropertyData[[#This Row],[Price]]/PropertyData[[#This Row],[Area_sqft]]</f>
        <v>6044.6780551905385</v>
      </c>
      <c r="P319" t="str">
        <f t="shared" si="4"/>
        <v>Budget</v>
      </c>
    </row>
    <row r="320" spans="1:16">
      <c r="A320" t="s">
        <v>332</v>
      </c>
      <c r="B320" t="s">
        <v>1018</v>
      </c>
      <c r="C320">
        <v>1869</v>
      </c>
      <c r="D320">
        <v>4</v>
      </c>
      <c r="E320">
        <v>4</v>
      </c>
      <c r="F320">
        <v>7</v>
      </c>
      <c r="G320" t="s">
        <v>1023</v>
      </c>
      <c r="H320" t="s">
        <v>1023</v>
      </c>
      <c r="I320" t="s">
        <v>1022</v>
      </c>
      <c r="J320" t="s">
        <v>1022</v>
      </c>
      <c r="K320" t="s">
        <v>1024</v>
      </c>
      <c r="L320">
        <v>5</v>
      </c>
      <c r="M320">
        <v>17</v>
      </c>
      <c r="N320">
        <v>11150000</v>
      </c>
      <c r="O320">
        <f>PropertyData[[#This Row],[Price]]/PropertyData[[#This Row],[Area_sqft]]</f>
        <v>5965.7570893525954</v>
      </c>
      <c r="P320" t="str">
        <f t="shared" si="4"/>
        <v>Premium</v>
      </c>
    </row>
    <row r="321" spans="1:16">
      <c r="A321" t="s">
        <v>333</v>
      </c>
      <c r="B321" t="s">
        <v>1015</v>
      </c>
      <c r="C321">
        <v>876</v>
      </c>
      <c r="D321">
        <v>1</v>
      </c>
      <c r="E321">
        <v>1</v>
      </c>
      <c r="F321">
        <v>11</v>
      </c>
      <c r="G321" t="s">
        <v>1023</v>
      </c>
      <c r="H321" t="s">
        <v>1023</v>
      </c>
      <c r="I321" t="s">
        <v>1023</v>
      </c>
      <c r="J321" t="s">
        <v>1022</v>
      </c>
      <c r="K321" t="s">
        <v>1025</v>
      </c>
      <c r="L321">
        <v>9</v>
      </c>
      <c r="M321">
        <v>15</v>
      </c>
      <c r="N321">
        <v>3100000</v>
      </c>
      <c r="O321">
        <f>PropertyData[[#This Row],[Price]]/PropertyData[[#This Row],[Area_sqft]]</f>
        <v>3538.8127853881278</v>
      </c>
      <c r="P321" t="str">
        <f t="shared" si="4"/>
        <v>Budget</v>
      </c>
    </row>
    <row r="322" spans="1:16">
      <c r="A322" t="s">
        <v>334</v>
      </c>
      <c r="B322" t="s">
        <v>1014</v>
      </c>
      <c r="C322">
        <v>975</v>
      </c>
      <c r="D322">
        <v>2</v>
      </c>
      <c r="E322">
        <v>2</v>
      </c>
      <c r="F322">
        <v>7</v>
      </c>
      <c r="G322" t="s">
        <v>1023</v>
      </c>
      <c r="H322" t="s">
        <v>1023</v>
      </c>
      <c r="I322" t="s">
        <v>1022</v>
      </c>
      <c r="J322" t="s">
        <v>1022</v>
      </c>
      <c r="K322" t="s">
        <v>1024</v>
      </c>
      <c r="L322">
        <v>10</v>
      </c>
      <c r="M322">
        <v>14</v>
      </c>
      <c r="N322">
        <v>9000000</v>
      </c>
      <c r="O322">
        <f>PropertyData[[#This Row],[Price]]/PropertyData[[#This Row],[Area_sqft]]</f>
        <v>9230.7692307692305</v>
      </c>
      <c r="P322" t="str">
        <f t="shared" ref="P322:P385" si="5">IF(N322&lt;5000000,"Budget",IF(N322&lt;=10000000,"Mid-Range","Premium"))</f>
        <v>Mid-Range</v>
      </c>
    </row>
    <row r="323" spans="1:16">
      <c r="A323" t="s">
        <v>335</v>
      </c>
      <c r="B323" t="s">
        <v>1014</v>
      </c>
      <c r="C323">
        <v>1262</v>
      </c>
      <c r="D323">
        <v>3</v>
      </c>
      <c r="E323">
        <v>4</v>
      </c>
      <c r="F323">
        <v>16</v>
      </c>
      <c r="G323" t="s">
        <v>1022</v>
      </c>
      <c r="H323" t="s">
        <v>1022</v>
      </c>
      <c r="I323" t="s">
        <v>1022</v>
      </c>
      <c r="J323" t="s">
        <v>1022</v>
      </c>
      <c r="K323" t="s">
        <v>1024</v>
      </c>
      <c r="L323">
        <v>14</v>
      </c>
      <c r="M323">
        <v>19</v>
      </c>
      <c r="N323">
        <v>10400000</v>
      </c>
      <c r="O323">
        <f>PropertyData[[#This Row],[Price]]/PropertyData[[#This Row],[Area_sqft]]</f>
        <v>8240.8874801901748</v>
      </c>
      <c r="P323" t="str">
        <f t="shared" si="5"/>
        <v>Premium</v>
      </c>
    </row>
    <row r="324" spans="1:16">
      <c r="A324" t="s">
        <v>336</v>
      </c>
      <c r="B324" t="s">
        <v>1021</v>
      </c>
      <c r="C324">
        <v>1318</v>
      </c>
      <c r="D324">
        <v>2</v>
      </c>
      <c r="E324">
        <v>3</v>
      </c>
      <c r="F324">
        <v>12</v>
      </c>
      <c r="G324" t="s">
        <v>1022</v>
      </c>
      <c r="H324" t="s">
        <v>1022</v>
      </c>
      <c r="I324" t="s">
        <v>1023</v>
      </c>
      <c r="J324" t="s">
        <v>1022</v>
      </c>
      <c r="K324" t="s">
        <v>1025</v>
      </c>
      <c r="L324">
        <v>17</v>
      </c>
      <c r="M324">
        <v>23</v>
      </c>
      <c r="N324">
        <v>8250000</v>
      </c>
      <c r="O324">
        <f>PropertyData[[#This Row],[Price]]/PropertyData[[#This Row],[Area_sqft]]</f>
        <v>6259.48406676783</v>
      </c>
      <c r="P324" t="str">
        <f t="shared" si="5"/>
        <v>Mid-Range</v>
      </c>
    </row>
    <row r="325" spans="1:16">
      <c r="A325" t="s">
        <v>337</v>
      </c>
      <c r="B325" t="s">
        <v>1020</v>
      </c>
      <c r="C325">
        <v>1543</v>
      </c>
      <c r="D325">
        <v>4</v>
      </c>
      <c r="E325">
        <v>4</v>
      </c>
      <c r="F325">
        <v>17</v>
      </c>
      <c r="G325" t="s">
        <v>1023</v>
      </c>
      <c r="H325" t="s">
        <v>1023</v>
      </c>
      <c r="I325" t="s">
        <v>1023</v>
      </c>
      <c r="J325" t="s">
        <v>1022</v>
      </c>
      <c r="K325" t="s">
        <v>1024</v>
      </c>
      <c r="L325">
        <v>12</v>
      </c>
      <c r="M325">
        <v>18</v>
      </c>
      <c r="N325">
        <v>9700000</v>
      </c>
      <c r="O325">
        <f>PropertyData[[#This Row],[Price]]/PropertyData[[#This Row],[Area_sqft]]</f>
        <v>6286.4549578742708</v>
      </c>
      <c r="P325" t="str">
        <f t="shared" si="5"/>
        <v>Mid-Range</v>
      </c>
    </row>
    <row r="326" spans="1:16">
      <c r="A326" t="s">
        <v>338</v>
      </c>
      <c r="B326" t="s">
        <v>1014</v>
      </c>
      <c r="C326">
        <v>1935</v>
      </c>
      <c r="D326">
        <v>4</v>
      </c>
      <c r="E326">
        <v>4</v>
      </c>
      <c r="F326">
        <v>19</v>
      </c>
      <c r="G326" t="s">
        <v>1022</v>
      </c>
      <c r="H326" t="s">
        <v>1022</v>
      </c>
      <c r="I326" t="s">
        <v>1023</v>
      </c>
      <c r="J326" t="s">
        <v>1023</v>
      </c>
      <c r="K326" t="s">
        <v>1024</v>
      </c>
      <c r="L326">
        <v>17</v>
      </c>
      <c r="M326">
        <v>23</v>
      </c>
      <c r="N326">
        <v>15350000</v>
      </c>
      <c r="O326">
        <f>PropertyData[[#This Row],[Price]]/PropertyData[[#This Row],[Area_sqft]]</f>
        <v>7932.8165374677001</v>
      </c>
      <c r="P326" t="str">
        <f t="shared" si="5"/>
        <v>Premium</v>
      </c>
    </row>
    <row r="327" spans="1:16">
      <c r="A327" t="s">
        <v>339</v>
      </c>
      <c r="B327" t="s">
        <v>1021</v>
      </c>
      <c r="C327">
        <v>1662</v>
      </c>
      <c r="D327">
        <v>3</v>
      </c>
      <c r="E327">
        <v>3</v>
      </c>
      <c r="F327">
        <v>13</v>
      </c>
      <c r="G327" t="s">
        <v>1022</v>
      </c>
      <c r="H327" t="s">
        <v>1022</v>
      </c>
      <c r="I327" t="s">
        <v>1023</v>
      </c>
      <c r="J327" t="s">
        <v>1022</v>
      </c>
      <c r="K327" t="s">
        <v>1026</v>
      </c>
      <c r="L327">
        <v>16</v>
      </c>
      <c r="M327">
        <v>19</v>
      </c>
      <c r="N327">
        <v>12550000</v>
      </c>
      <c r="O327">
        <f>PropertyData[[#This Row],[Price]]/PropertyData[[#This Row],[Area_sqft]]</f>
        <v>7551.1432009626951</v>
      </c>
      <c r="P327" t="str">
        <f t="shared" si="5"/>
        <v>Premium</v>
      </c>
    </row>
    <row r="328" spans="1:16">
      <c r="A328" t="s">
        <v>340</v>
      </c>
      <c r="B328" t="s">
        <v>1017</v>
      </c>
      <c r="C328">
        <v>1077</v>
      </c>
      <c r="D328">
        <v>3</v>
      </c>
      <c r="E328">
        <v>3</v>
      </c>
      <c r="F328">
        <v>23</v>
      </c>
      <c r="G328" t="s">
        <v>1023</v>
      </c>
      <c r="H328" t="s">
        <v>1022</v>
      </c>
      <c r="I328" t="s">
        <v>1023</v>
      </c>
      <c r="J328" t="s">
        <v>1023</v>
      </c>
      <c r="K328" t="s">
        <v>1025</v>
      </c>
      <c r="L328">
        <v>7</v>
      </c>
      <c r="M328">
        <v>18</v>
      </c>
      <c r="N328">
        <v>3450000</v>
      </c>
      <c r="O328">
        <f>PropertyData[[#This Row],[Price]]/PropertyData[[#This Row],[Area_sqft]]</f>
        <v>3203.3426183844012</v>
      </c>
      <c r="P328" t="str">
        <f t="shared" si="5"/>
        <v>Budget</v>
      </c>
    </row>
    <row r="329" spans="1:16">
      <c r="A329" t="s">
        <v>341</v>
      </c>
      <c r="B329" t="s">
        <v>1021</v>
      </c>
      <c r="C329">
        <v>1001</v>
      </c>
      <c r="D329">
        <v>2</v>
      </c>
      <c r="E329">
        <v>2</v>
      </c>
      <c r="F329">
        <v>17</v>
      </c>
      <c r="G329" t="s">
        <v>1022</v>
      </c>
      <c r="H329" t="s">
        <v>1022</v>
      </c>
      <c r="I329" t="s">
        <v>1023</v>
      </c>
      <c r="J329" t="s">
        <v>1023</v>
      </c>
      <c r="K329" t="s">
        <v>1025</v>
      </c>
      <c r="L329">
        <v>13</v>
      </c>
      <c r="M329">
        <v>19</v>
      </c>
      <c r="N329">
        <v>5400000</v>
      </c>
      <c r="O329">
        <f>PropertyData[[#This Row],[Price]]/PropertyData[[#This Row],[Area_sqft]]</f>
        <v>5394.6053946053944</v>
      </c>
      <c r="P329" t="str">
        <f t="shared" si="5"/>
        <v>Mid-Range</v>
      </c>
    </row>
    <row r="330" spans="1:16">
      <c r="A330" t="s">
        <v>342</v>
      </c>
      <c r="B330" t="s">
        <v>1017</v>
      </c>
      <c r="C330">
        <v>1395</v>
      </c>
      <c r="D330">
        <v>4</v>
      </c>
      <c r="E330">
        <v>5</v>
      </c>
      <c r="F330">
        <v>22</v>
      </c>
      <c r="G330" t="s">
        <v>1022</v>
      </c>
      <c r="H330" t="s">
        <v>1022</v>
      </c>
      <c r="I330" t="s">
        <v>1022</v>
      </c>
      <c r="J330" t="s">
        <v>1022</v>
      </c>
      <c r="K330" t="s">
        <v>1025</v>
      </c>
      <c r="L330">
        <v>9</v>
      </c>
      <c r="M330">
        <v>13</v>
      </c>
      <c r="N330">
        <v>4850000</v>
      </c>
      <c r="O330">
        <f>PropertyData[[#This Row],[Price]]/PropertyData[[#This Row],[Area_sqft]]</f>
        <v>3476.7025089605736</v>
      </c>
      <c r="P330" t="str">
        <f t="shared" si="5"/>
        <v>Budget</v>
      </c>
    </row>
    <row r="331" spans="1:16">
      <c r="A331" t="s">
        <v>343</v>
      </c>
      <c r="B331" t="s">
        <v>1019</v>
      </c>
      <c r="C331">
        <v>1275</v>
      </c>
      <c r="D331">
        <v>2</v>
      </c>
      <c r="E331">
        <v>2</v>
      </c>
      <c r="F331">
        <v>10</v>
      </c>
      <c r="G331" t="s">
        <v>1023</v>
      </c>
      <c r="H331" t="s">
        <v>1023</v>
      </c>
      <c r="I331" t="s">
        <v>1023</v>
      </c>
      <c r="J331" t="s">
        <v>1022</v>
      </c>
      <c r="K331" t="s">
        <v>1025</v>
      </c>
      <c r="L331">
        <v>5</v>
      </c>
      <c r="M331">
        <v>10</v>
      </c>
      <c r="N331">
        <v>9750000</v>
      </c>
      <c r="O331">
        <f>PropertyData[[#This Row],[Price]]/PropertyData[[#This Row],[Area_sqft]]</f>
        <v>7647.0588235294117</v>
      </c>
      <c r="P331" t="str">
        <f t="shared" si="5"/>
        <v>Mid-Range</v>
      </c>
    </row>
    <row r="332" spans="1:16">
      <c r="A332" t="s">
        <v>344</v>
      </c>
      <c r="B332" t="s">
        <v>1021</v>
      </c>
      <c r="C332">
        <v>1317</v>
      </c>
      <c r="D332">
        <v>2</v>
      </c>
      <c r="E332">
        <v>2</v>
      </c>
      <c r="F332">
        <v>8</v>
      </c>
      <c r="G332" t="s">
        <v>1022</v>
      </c>
      <c r="H332" t="s">
        <v>1023</v>
      </c>
      <c r="I332" t="s">
        <v>1023</v>
      </c>
      <c r="J332" t="s">
        <v>1022</v>
      </c>
      <c r="K332" t="s">
        <v>1026</v>
      </c>
      <c r="L332">
        <v>9</v>
      </c>
      <c r="M332">
        <v>17</v>
      </c>
      <c r="N332">
        <v>10450000</v>
      </c>
      <c r="O332">
        <f>PropertyData[[#This Row],[Price]]/PropertyData[[#This Row],[Area_sqft]]</f>
        <v>7934.7000759301445</v>
      </c>
      <c r="P332" t="str">
        <f t="shared" si="5"/>
        <v>Premium</v>
      </c>
    </row>
    <row r="333" spans="1:16">
      <c r="A333" t="s">
        <v>345</v>
      </c>
      <c r="B333" t="s">
        <v>1014</v>
      </c>
      <c r="C333">
        <v>1831</v>
      </c>
      <c r="D333">
        <v>4</v>
      </c>
      <c r="E333">
        <v>5</v>
      </c>
      <c r="F333">
        <v>29</v>
      </c>
      <c r="G333" t="s">
        <v>1023</v>
      </c>
      <c r="H333" t="s">
        <v>1022</v>
      </c>
      <c r="I333" t="s">
        <v>1023</v>
      </c>
      <c r="J333" t="s">
        <v>1022</v>
      </c>
      <c r="K333" t="s">
        <v>1025</v>
      </c>
      <c r="L333">
        <v>10</v>
      </c>
      <c r="M333">
        <v>23</v>
      </c>
      <c r="N333">
        <v>8900000</v>
      </c>
      <c r="O333">
        <f>PropertyData[[#This Row],[Price]]/PropertyData[[#This Row],[Area_sqft]]</f>
        <v>4860.7318405243041</v>
      </c>
      <c r="P333" t="str">
        <f t="shared" si="5"/>
        <v>Mid-Range</v>
      </c>
    </row>
    <row r="334" spans="1:16">
      <c r="A334" t="s">
        <v>346</v>
      </c>
      <c r="B334" t="s">
        <v>1019</v>
      </c>
      <c r="C334">
        <v>945</v>
      </c>
      <c r="D334">
        <v>2</v>
      </c>
      <c r="E334">
        <v>1</v>
      </c>
      <c r="F334">
        <v>10</v>
      </c>
      <c r="G334" t="s">
        <v>1022</v>
      </c>
      <c r="H334" t="s">
        <v>1023</v>
      </c>
      <c r="I334" t="s">
        <v>1023</v>
      </c>
      <c r="J334" t="s">
        <v>1022</v>
      </c>
      <c r="K334" t="s">
        <v>1025</v>
      </c>
      <c r="L334">
        <v>2</v>
      </c>
      <c r="M334">
        <v>13</v>
      </c>
      <c r="N334">
        <v>7150000</v>
      </c>
      <c r="O334">
        <f>PropertyData[[#This Row],[Price]]/PropertyData[[#This Row],[Area_sqft]]</f>
        <v>7566.137566137566</v>
      </c>
      <c r="P334" t="str">
        <f t="shared" si="5"/>
        <v>Mid-Range</v>
      </c>
    </row>
    <row r="335" spans="1:16">
      <c r="A335" t="s">
        <v>347</v>
      </c>
      <c r="B335" t="s">
        <v>1020</v>
      </c>
      <c r="C335">
        <v>771</v>
      </c>
      <c r="D335">
        <v>1</v>
      </c>
      <c r="E335">
        <v>1</v>
      </c>
      <c r="F335">
        <v>2</v>
      </c>
      <c r="G335" t="s">
        <v>1022</v>
      </c>
      <c r="H335" t="s">
        <v>1023</v>
      </c>
      <c r="I335" t="s">
        <v>1022</v>
      </c>
      <c r="J335" t="s">
        <v>1022</v>
      </c>
      <c r="K335" t="s">
        <v>1025</v>
      </c>
      <c r="L335">
        <v>15</v>
      </c>
      <c r="M335">
        <v>24</v>
      </c>
      <c r="N335">
        <v>5550000</v>
      </c>
      <c r="O335">
        <f>PropertyData[[#This Row],[Price]]/PropertyData[[#This Row],[Area_sqft]]</f>
        <v>7198.4435797665374</v>
      </c>
      <c r="P335" t="str">
        <f t="shared" si="5"/>
        <v>Mid-Range</v>
      </c>
    </row>
    <row r="336" spans="1:16">
      <c r="A336" t="s">
        <v>348</v>
      </c>
      <c r="B336" t="s">
        <v>1016</v>
      </c>
      <c r="C336">
        <v>1360</v>
      </c>
      <c r="D336">
        <v>3</v>
      </c>
      <c r="E336">
        <v>3</v>
      </c>
      <c r="F336">
        <v>14</v>
      </c>
      <c r="G336" t="s">
        <v>1022</v>
      </c>
      <c r="H336" t="s">
        <v>1023</v>
      </c>
      <c r="I336" t="s">
        <v>1023</v>
      </c>
      <c r="J336" t="s">
        <v>1022</v>
      </c>
      <c r="K336" t="s">
        <v>1025</v>
      </c>
      <c r="L336">
        <v>8</v>
      </c>
      <c r="M336">
        <v>19</v>
      </c>
      <c r="N336">
        <v>5600000</v>
      </c>
      <c r="O336">
        <f>PropertyData[[#This Row],[Price]]/PropertyData[[#This Row],[Area_sqft]]</f>
        <v>4117.6470588235297</v>
      </c>
      <c r="P336" t="str">
        <f t="shared" si="5"/>
        <v>Mid-Range</v>
      </c>
    </row>
    <row r="337" spans="1:16">
      <c r="A337" t="s">
        <v>349</v>
      </c>
      <c r="B337" t="s">
        <v>1017</v>
      </c>
      <c r="C337">
        <v>1146</v>
      </c>
      <c r="D337">
        <v>3</v>
      </c>
      <c r="E337">
        <v>4</v>
      </c>
      <c r="F337">
        <v>7</v>
      </c>
      <c r="G337" t="s">
        <v>1023</v>
      </c>
      <c r="H337" t="s">
        <v>1022</v>
      </c>
      <c r="I337" t="s">
        <v>1023</v>
      </c>
      <c r="J337" t="s">
        <v>1022</v>
      </c>
      <c r="K337" t="s">
        <v>1024</v>
      </c>
      <c r="L337">
        <v>12</v>
      </c>
      <c r="M337">
        <v>16</v>
      </c>
      <c r="N337">
        <v>4450000</v>
      </c>
      <c r="O337">
        <f>PropertyData[[#This Row],[Price]]/PropertyData[[#This Row],[Area_sqft]]</f>
        <v>3883.0715532286213</v>
      </c>
      <c r="P337" t="str">
        <f t="shared" si="5"/>
        <v>Budget</v>
      </c>
    </row>
    <row r="338" spans="1:16">
      <c r="A338" t="s">
        <v>350</v>
      </c>
      <c r="B338" t="s">
        <v>1015</v>
      </c>
      <c r="C338">
        <v>1115</v>
      </c>
      <c r="D338">
        <v>2</v>
      </c>
      <c r="E338">
        <v>3</v>
      </c>
      <c r="F338">
        <v>28</v>
      </c>
      <c r="G338" t="s">
        <v>1022</v>
      </c>
      <c r="H338" t="s">
        <v>1022</v>
      </c>
      <c r="I338" t="s">
        <v>1023</v>
      </c>
      <c r="J338" t="s">
        <v>1022</v>
      </c>
      <c r="K338" t="s">
        <v>1025</v>
      </c>
      <c r="L338">
        <v>10</v>
      </c>
      <c r="M338">
        <v>14</v>
      </c>
      <c r="N338">
        <v>3500000</v>
      </c>
      <c r="O338">
        <f>PropertyData[[#This Row],[Price]]/PropertyData[[#This Row],[Area_sqft]]</f>
        <v>3139.0134529147981</v>
      </c>
      <c r="P338" t="str">
        <f t="shared" si="5"/>
        <v>Budget</v>
      </c>
    </row>
    <row r="339" spans="1:16">
      <c r="A339" t="s">
        <v>351</v>
      </c>
      <c r="B339" t="s">
        <v>1018</v>
      </c>
      <c r="C339">
        <v>1667</v>
      </c>
      <c r="D339">
        <v>4</v>
      </c>
      <c r="E339">
        <v>5</v>
      </c>
      <c r="F339">
        <v>3</v>
      </c>
      <c r="G339" t="s">
        <v>1022</v>
      </c>
      <c r="H339" t="s">
        <v>1022</v>
      </c>
      <c r="I339" t="s">
        <v>1022</v>
      </c>
      <c r="J339" t="s">
        <v>1023</v>
      </c>
      <c r="K339" t="s">
        <v>1025</v>
      </c>
      <c r="L339">
        <v>13</v>
      </c>
      <c r="M339">
        <v>15</v>
      </c>
      <c r="N339">
        <v>9200000</v>
      </c>
      <c r="O339">
        <f>PropertyData[[#This Row],[Price]]/PropertyData[[#This Row],[Area_sqft]]</f>
        <v>5518.8962207558488</v>
      </c>
      <c r="P339" t="str">
        <f t="shared" si="5"/>
        <v>Mid-Range</v>
      </c>
    </row>
    <row r="340" spans="1:16">
      <c r="A340" t="s">
        <v>352</v>
      </c>
      <c r="B340" t="s">
        <v>1014</v>
      </c>
      <c r="C340">
        <v>817</v>
      </c>
      <c r="D340">
        <v>2</v>
      </c>
      <c r="E340">
        <v>3</v>
      </c>
      <c r="F340">
        <v>14</v>
      </c>
      <c r="G340" t="s">
        <v>1022</v>
      </c>
      <c r="H340" t="s">
        <v>1022</v>
      </c>
      <c r="I340" t="s">
        <v>1023</v>
      </c>
      <c r="J340" t="s">
        <v>1022</v>
      </c>
      <c r="K340" t="s">
        <v>1024</v>
      </c>
      <c r="L340">
        <v>15</v>
      </c>
      <c r="M340">
        <v>23</v>
      </c>
      <c r="N340">
        <v>5650000</v>
      </c>
      <c r="O340">
        <f>PropertyData[[#This Row],[Price]]/PropertyData[[#This Row],[Area_sqft]]</f>
        <v>6915.5446756425945</v>
      </c>
      <c r="P340" t="str">
        <f t="shared" si="5"/>
        <v>Mid-Range</v>
      </c>
    </row>
    <row r="341" spans="1:16">
      <c r="A341" t="s">
        <v>353</v>
      </c>
      <c r="B341" t="s">
        <v>1016</v>
      </c>
      <c r="C341">
        <v>1773</v>
      </c>
      <c r="D341">
        <v>4</v>
      </c>
      <c r="E341">
        <v>4</v>
      </c>
      <c r="F341">
        <v>10</v>
      </c>
      <c r="G341" t="s">
        <v>1022</v>
      </c>
      <c r="H341" t="s">
        <v>1023</v>
      </c>
      <c r="I341" t="s">
        <v>1023</v>
      </c>
      <c r="J341" t="s">
        <v>1022</v>
      </c>
      <c r="K341" t="s">
        <v>1024</v>
      </c>
      <c r="L341">
        <v>10</v>
      </c>
      <c r="M341">
        <v>18</v>
      </c>
      <c r="N341">
        <v>8700000</v>
      </c>
      <c r="O341">
        <f>PropertyData[[#This Row],[Price]]/PropertyData[[#This Row],[Area_sqft]]</f>
        <v>4906.9373942470393</v>
      </c>
      <c r="P341" t="str">
        <f t="shared" si="5"/>
        <v>Mid-Range</v>
      </c>
    </row>
    <row r="342" spans="1:16">
      <c r="A342" t="s">
        <v>354</v>
      </c>
      <c r="B342" t="s">
        <v>1019</v>
      </c>
      <c r="C342">
        <v>1158</v>
      </c>
      <c r="D342">
        <v>2</v>
      </c>
      <c r="E342">
        <v>2</v>
      </c>
      <c r="F342">
        <v>24</v>
      </c>
      <c r="G342" t="s">
        <v>1022</v>
      </c>
      <c r="H342" t="s">
        <v>1023</v>
      </c>
      <c r="I342" t="s">
        <v>1023</v>
      </c>
      <c r="J342" t="s">
        <v>1022</v>
      </c>
      <c r="K342" t="s">
        <v>1025</v>
      </c>
      <c r="L342">
        <v>20</v>
      </c>
      <c r="M342">
        <v>21</v>
      </c>
      <c r="N342">
        <v>8550000</v>
      </c>
      <c r="O342">
        <f>PropertyData[[#This Row],[Price]]/PropertyData[[#This Row],[Area_sqft]]</f>
        <v>7383.4196891191714</v>
      </c>
      <c r="P342" t="str">
        <f t="shared" si="5"/>
        <v>Mid-Range</v>
      </c>
    </row>
    <row r="343" spans="1:16">
      <c r="A343" t="s">
        <v>355</v>
      </c>
      <c r="B343" t="s">
        <v>1019</v>
      </c>
      <c r="C343">
        <v>1049</v>
      </c>
      <c r="D343">
        <v>3</v>
      </c>
      <c r="E343">
        <v>4</v>
      </c>
      <c r="F343">
        <v>10</v>
      </c>
      <c r="G343" t="s">
        <v>1022</v>
      </c>
      <c r="H343" t="s">
        <v>1023</v>
      </c>
      <c r="I343" t="s">
        <v>1022</v>
      </c>
      <c r="J343" t="s">
        <v>1023</v>
      </c>
      <c r="K343" t="s">
        <v>1024</v>
      </c>
      <c r="L343">
        <v>17</v>
      </c>
      <c r="M343">
        <v>17</v>
      </c>
      <c r="N343">
        <v>9000000</v>
      </c>
      <c r="O343">
        <f>PropertyData[[#This Row],[Price]]/PropertyData[[#This Row],[Area_sqft]]</f>
        <v>8579.5996186844623</v>
      </c>
      <c r="P343" t="str">
        <f t="shared" si="5"/>
        <v>Mid-Range</v>
      </c>
    </row>
    <row r="344" spans="1:16">
      <c r="A344" t="s">
        <v>356</v>
      </c>
      <c r="B344" t="s">
        <v>1021</v>
      </c>
      <c r="C344">
        <v>1169</v>
      </c>
      <c r="D344">
        <v>2</v>
      </c>
      <c r="E344">
        <v>2</v>
      </c>
      <c r="F344">
        <v>9</v>
      </c>
      <c r="G344" t="s">
        <v>1023</v>
      </c>
      <c r="H344" t="s">
        <v>1022</v>
      </c>
      <c r="I344" t="s">
        <v>1022</v>
      </c>
      <c r="J344" t="s">
        <v>1023</v>
      </c>
      <c r="K344" t="s">
        <v>1026</v>
      </c>
      <c r="L344">
        <v>11</v>
      </c>
      <c r="M344">
        <v>21</v>
      </c>
      <c r="N344">
        <v>10400000</v>
      </c>
      <c r="O344">
        <f>PropertyData[[#This Row],[Price]]/PropertyData[[#This Row],[Area_sqft]]</f>
        <v>8896.4927288280578</v>
      </c>
      <c r="P344" t="str">
        <f t="shared" si="5"/>
        <v>Premium</v>
      </c>
    </row>
    <row r="345" spans="1:16">
      <c r="A345" t="s">
        <v>357</v>
      </c>
      <c r="B345" t="s">
        <v>1017</v>
      </c>
      <c r="C345">
        <v>1350</v>
      </c>
      <c r="D345">
        <v>2</v>
      </c>
      <c r="E345">
        <v>2</v>
      </c>
      <c r="F345">
        <v>15</v>
      </c>
      <c r="G345" t="s">
        <v>1022</v>
      </c>
      <c r="H345" t="s">
        <v>1022</v>
      </c>
      <c r="I345" t="s">
        <v>1023</v>
      </c>
      <c r="J345" t="s">
        <v>1022</v>
      </c>
      <c r="K345" t="s">
        <v>1025</v>
      </c>
      <c r="L345">
        <v>10</v>
      </c>
      <c r="M345">
        <v>21</v>
      </c>
      <c r="N345">
        <v>5600000</v>
      </c>
      <c r="O345">
        <f>PropertyData[[#This Row],[Price]]/PropertyData[[#This Row],[Area_sqft]]</f>
        <v>4148.1481481481478</v>
      </c>
      <c r="P345" t="str">
        <f t="shared" si="5"/>
        <v>Mid-Range</v>
      </c>
    </row>
    <row r="346" spans="1:16">
      <c r="A346" t="s">
        <v>358</v>
      </c>
      <c r="B346" t="s">
        <v>1019</v>
      </c>
      <c r="C346">
        <v>1124</v>
      </c>
      <c r="D346">
        <v>3</v>
      </c>
      <c r="E346">
        <v>2</v>
      </c>
      <c r="F346">
        <v>21</v>
      </c>
      <c r="G346" t="s">
        <v>1022</v>
      </c>
      <c r="H346" t="s">
        <v>1023</v>
      </c>
      <c r="I346" t="s">
        <v>1023</v>
      </c>
      <c r="J346" t="s">
        <v>1022</v>
      </c>
      <c r="K346" t="s">
        <v>1025</v>
      </c>
      <c r="L346">
        <v>9</v>
      </c>
      <c r="M346">
        <v>24</v>
      </c>
      <c r="N346">
        <v>8350000</v>
      </c>
      <c r="O346">
        <f>PropertyData[[#This Row],[Price]]/PropertyData[[#This Row],[Area_sqft]]</f>
        <v>7428.8256227758011</v>
      </c>
      <c r="P346" t="str">
        <f t="shared" si="5"/>
        <v>Mid-Range</v>
      </c>
    </row>
    <row r="347" spans="1:16">
      <c r="A347" t="s">
        <v>359</v>
      </c>
      <c r="B347" t="s">
        <v>1019</v>
      </c>
      <c r="C347">
        <v>1274</v>
      </c>
      <c r="D347">
        <v>3</v>
      </c>
      <c r="E347">
        <v>3</v>
      </c>
      <c r="F347">
        <v>8</v>
      </c>
      <c r="G347" t="s">
        <v>1022</v>
      </c>
      <c r="H347" t="s">
        <v>1023</v>
      </c>
      <c r="I347" t="s">
        <v>1023</v>
      </c>
      <c r="J347" t="s">
        <v>1022</v>
      </c>
      <c r="K347" t="s">
        <v>1025</v>
      </c>
      <c r="L347">
        <v>2</v>
      </c>
      <c r="M347">
        <v>2</v>
      </c>
      <c r="N347">
        <v>8400000</v>
      </c>
      <c r="O347">
        <f>PropertyData[[#This Row],[Price]]/PropertyData[[#This Row],[Area_sqft]]</f>
        <v>6593.4065934065939</v>
      </c>
      <c r="P347" t="str">
        <f t="shared" si="5"/>
        <v>Mid-Range</v>
      </c>
    </row>
    <row r="348" spans="1:16">
      <c r="A348" t="s">
        <v>360</v>
      </c>
      <c r="B348" t="s">
        <v>1021</v>
      </c>
      <c r="C348">
        <v>1260</v>
      </c>
      <c r="D348">
        <v>2</v>
      </c>
      <c r="E348">
        <v>2</v>
      </c>
      <c r="F348">
        <v>1</v>
      </c>
      <c r="G348" t="s">
        <v>1022</v>
      </c>
      <c r="H348" t="s">
        <v>1023</v>
      </c>
      <c r="I348" t="s">
        <v>1023</v>
      </c>
      <c r="J348" t="s">
        <v>1022</v>
      </c>
      <c r="K348" t="s">
        <v>1025</v>
      </c>
      <c r="L348">
        <v>10</v>
      </c>
      <c r="M348">
        <v>23</v>
      </c>
      <c r="N348">
        <v>8350000</v>
      </c>
      <c r="O348">
        <f>PropertyData[[#This Row],[Price]]/PropertyData[[#This Row],[Area_sqft]]</f>
        <v>6626.9841269841272</v>
      </c>
      <c r="P348" t="str">
        <f t="shared" si="5"/>
        <v>Mid-Range</v>
      </c>
    </row>
    <row r="349" spans="1:16">
      <c r="A349" t="s">
        <v>361</v>
      </c>
      <c r="B349" t="s">
        <v>1015</v>
      </c>
      <c r="C349">
        <v>1018</v>
      </c>
      <c r="D349">
        <v>2</v>
      </c>
      <c r="E349">
        <v>2</v>
      </c>
      <c r="F349">
        <v>23</v>
      </c>
      <c r="G349" t="s">
        <v>1023</v>
      </c>
      <c r="H349" t="s">
        <v>1023</v>
      </c>
      <c r="I349" t="s">
        <v>1023</v>
      </c>
      <c r="J349" t="s">
        <v>1022</v>
      </c>
      <c r="K349" t="s">
        <v>1024</v>
      </c>
      <c r="L349">
        <v>4</v>
      </c>
      <c r="M349">
        <v>4</v>
      </c>
      <c r="N349">
        <v>3300000</v>
      </c>
      <c r="O349">
        <f>PropertyData[[#This Row],[Price]]/PropertyData[[#This Row],[Area_sqft]]</f>
        <v>3241.6502946954815</v>
      </c>
      <c r="P349" t="str">
        <f t="shared" si="5"/>
        <v>Budget</v>
      </c>
    </row>
    <row r="350" spans="1:16">
      <c r="A350" t="s">
        <v>362</v>
      </c>
      <c r="B350" t="s">
        <v>1017</v>
      </c>
      <c r="C350">
        <v>1901</v>
      </c>
      <c r="D350">
        <v>4</v>
      </c>
      <c r="E350">
        <v>4</v>
      </c>
      <c r="F350">
        <v>15</v>
      </c>
      <c r="G350" t="s">
        <v>1022</v>
      </c>
      <c r="H350" t="s">
        <v>1023</v>
      </c>
      <c r="I350" t="s">
        <v>1023</v>
      </c>
      <c r="J350" t="s">
        <v>1022</v>
      </c>
      <c r="K350" t="s">
        <v>1024</v>
      </c>
      <c r="L350">
        <v>14</v>
      </c>
      <c r="M350">
        <v>19</v>
      </c>
      <c r="N350">
        <v>6850000</v>
      </c>
      <c r="O350">
        <f>PropertyData[[#This Row],[Price]]/PropertyData[[#This Row],[Area_sqft]]</f>
        <v>3603.3666491320359</v>
      </c>
      <c r="P350" t="str">
        <f t="shared" si="5"/>
        <v>Mid-Range</v>
      </c>
    </row>
    <row r="351" spans="1:16">
      <c r="A351" t="s">
        <v>363</v>
      </c>
      <c r="B351" t="s">
        <v>1016</v>
      </c>
      <c r="C351">
        <v>1191</v>
      </c>
      <c r="D351">
        <v>3</v>
      </c>
      <c r="E351">
        <v>4</v>
      </c>
      <c r="F351">
        <v>11</v>
      </c>
      <c r="G351" t="s">
        <v>1023</v>
      </c>
      <c r="H351" t="s">
        <v>1022</v>
      </c>
      <c r="I351" t="s">
        <v>1023</v>
      </c>
      <c r="J351" t="s">
        <v>1022</v>
      </c>
      <c r="K351" t="s">
        <v>1025</v>
      </c>
      <c r="L351">
        <v>20</v>
      </c>
      <c r="M351">
        <v>22</v>
      </c>
      <c r="N351">
        <v>5200000</v>
      </c>
      <c r="O351">
        <f>PropertyData[[#This Row],[Price]]/PropertyData[[#This Row],[Area_sqft]]</f>
        <v>4366.07892527288</v>
      </c>
      <c r="P351" t="str">
        <f t="shared" si="5"/>
        <v>Mid-Range</v>
      </c>
    </row>
    <row r="352" spans="1:16">
      <c r="A352" t="s">
        <v>364</v>
      </c>
      <c r="B352" t="s">
        <v>1015</v>
      </c>
      <c r="C352">
        <v>566</v>
      </c>
      <c r="D352">
        <v>1</v>
      </c>
      <c r="E352">
        <v>1</v>
      </c>
      <c r="F352">
        <v>21</v>
      </c>
      <c r="G352" t="s">
        <v>1022</v>
      </c>
      <c r="H352" t="s">
        <v>1023</v>
      </c>
      <c r="I352" t="s">
        <v>1023</v>
      </c>
      <c r="J352" t="s">
        <v>1023</v>
      </c>
      <c r="K352" t="s">
        <v>1025</v>
      </c>
      <c r="L352">
        <v>5</v>
      </c>
      <c r="M352">
        <v>13</v>
      </c>
      <c r="N352">
        <v>1550000</v>
      </c>
      <c r="O352">
        <f>PropertyData[[#This Row],[Price]]/PropertyData[[#This Row],[Area_sqft]]</f>
        <v>2738.5159010600705</v>
      </c>
      <c r="P352" t="str">
        <f t="shared" si="5"/>
        <v>Budget</v>
      </c>
    </row>
    <row r="353" spans="1:16">
      <c r="A353" t="s">
        <v>365</v>
      </c>
      <c r="B353" t="s">
        <v>1017</v>
      </c>
      <c r="C353">
        <v>1068</v>
      </c>
      <c r="D353">
        <v>3</v>
      </c>
      <c r="E353">
        <v>3</v>
      </c>
      <c r="F353">
        <v>24</v>
      </c>
      <c r="G353" t="s">
        <v>1022</v>
      </c>
      <c r="H353" t="s">
        <v>1022</v>
      </c>
      <c r="I353" t="s">
        <v>1022</v>
      </c>
      <c r="J353" t="s">
        <v>1022</v>
      </c>
      <c r="K353" t="s">
        <v>1025</v>
      </c>
      <c r="L353">
        <v>7</v>
      </c>
      <c r="M353">
        <v>21</v>
      </c>
      <c r="N353">
        <v>4500000</v>
      </c>
      <c r="O353">
        <f>PropertyData[[#This Row],[Price]]/PropertyData[[#This Row],[Area_sqft]]</f>
        <v>4213.4831460674159</v>
      </c>
      <c r="P353" t="str">
        <f t="shared" si="5"/>
        <v>Budget</v>
      </c>
    </row>
    <row r="354" spans="1:16">
      <c r="A354" t="s">
        <v>366</v>
      </c>
      <c r="B354" t="s">
        <v>1015</v>
      </c>
      <c r="C354">
        <v>996</v>
      </c>
      <c r="D354">
        <v>3</v>
      </c>
      <c r="E354">
        <v>3</v>
      </c>
      <c r="F354">
        <v>20</v>
      </c>
      <c r="G354" t="s">
        <v>1022</v>
      </c>
      <c r="H354" t="s">
        <v>1022</v>
      </c>
      <c r="I354" t="s">
        <v>1023</v>
      </c>
      <c r="J354" t="s">
        <v>1022</v>
      </c>
      <c r="K354" t="s">
        <v>1025</v>
      </c>
      <c r="L354">
        <v>16</v>
      </c>
      <c r="M354">
        <v>18</v>
      </c>
      <c r="N354">
        <v>3150000</v>
      </c>
      <c r="O354">
        <f>PropertyData[[#This Row],[Price]]/PropertyData[[#This Row],[Area_sqft]]</f>
        <v>3162.6506024096384</v>
      </c>
      <c r="P354" t="str">
        <f t="shared" si="5"/>
        <v>Budget</v>
      </c>
    </row>
    <row r="355" spans="1:16">
      <c r="A355" t="s">
        <v>367</v>
      </c>
      <c r="B355" t="s">
        <v>1020</v>
      </c>
      <c r="C355">
        <v>1084</v>
      </c>
      <c r="D355">
        <v>2</v>
      </c>
      <c r="E355">
        <v>2</v>
      </c>
      <c r="F355">
        <v>19</v>
      </c>
      <c r="G355" t="s">
        <v>1023</v>
      </c>
      <c r="H355" t="s">
        <v>1023</v>
      </c>
      <c r="I355" t="s">
        <v>1023</v>
      </c>
      <c r="J355" t="s">
        <v>1022</v>
      </c>
      <c r="K355" t="s">
        <v>1024</v>
      </c>
      <c r="L355">
        <v>13</v>
      </c>
      <c r="M355">
        <v>23</v>
      </c>
      <c r="N355">
        <v>6300000</v>
      </c>
      <c r="O355">
        <f>PropertyData[[#This Row],[Price]]/PropertyData[[#This Row],[Area_sqft]]</f>
        <v>5811.8081180811805</v>
      </c>
      <c r="P355" t="str">
        <f t="shared" si="5"/>
        <v>Mid-Range</v>
      </c>
    </row>
    <row r="356" spans="1:16">
      <c r="A356" t="s">
        <v>368</v>
      </c>
      <c r="B356" t="s">
        <v>1017</v>
      </c>
      <c r="C356">
        <v>1725</v>
      </c>
      <c r="D356">
        <v>3</v>
      </c>
      <c r="E356">
        <v>3</v>
      </c>
      <c r="F356">
        <v>21</v>
      </c>
      <c r="G356" t="s">
        <v>1022</v>
      </c>
      <c r="H356" t="s">
        <v>1022</v>
      </c>
      <c r="I356" t="s">
        <v>1023</v>
      </c>
      <c r="J356" t="s">
        <v>1022</v>
      </c>
      <c r="K356" t="s">
        <v>1024</v>
      </c>
      <c r="L356">
        <v>19</v>
      </c>
      <c r="M356">
        <v>20</v>
      </c>
      <c r="N356">
        <v>6200000</v>
      </c>
      <c r="O356">
        <f>PropertyData[[#This Row],[Price]]/PropertyData[[#This Row],[Area_sqft]]</f>
        <v>3594.2028985507245</v>
      </c>
      <c r="P356" t="str">
        <f t="shared" si="5"/>
        <v>Mid-Range</v>
      </c>
    </row>
    <row r="357" spans="1:16">
      <c r="A357" t="s">
        <v>369</v>
      </c>
      <c r="B357" t="s">
        <v>1014</v>
      </c>
      <c r="C357">
        <v>1533</v>
      </c>
      <c r="D357">
        <v>3</v>
      </c>
      <c r="E357">
        <v>3</v>
      </c>
      <c r="F357">
        <v>18</v>
      </c>
      <c r="G357" t="s">
        <v>1022</v>
      </c>
      <c r="H357" t="s">
        <v>1022</v>
      </c>
      <c r="I357" t="s">
        <v>1022</v>
      </c>
      <c r="J357" t="s">
        <v>1022</v>
      </c>
      <c r="K357" t="s">
        <v>1025</v>
      </c>
      <c r="L357">
        <v>11</v>
      </c>
      <c r="M357">
        <v>16</v>
      </c>
      <c r="N357">
        <v>11100000</v>
      </c>
      <c r="O357">
        <f>PropertyData[[#This Row],[Price]]/PropertyData[[#This Row],[Area_sqft]]</f>
        <v>7240.7045009784733</v>
      </c>
      <c r="P357" t="str">
        <f t="shared" si="5"/>
        <v>Premium</v>
      </c>
    </row>
    <row r="358" spans="1:16">
      <c r="A358" t="s">
        <v>370</v>
      </c>
      <c r="B358" t="s">
        <v>1019</v>
      </c>
      <c r="C358">
        <v>1514</v>
      </c>
      <c r="D358">
        <v>3</v>
      </c>
      <c r="E358">
        <v>3</v>
      </c>
      <c r="F358">
        <v>0</v>
      </c>
      <c r="G358" t="s">
        <v>1023</v>
      </c>
      <c r="H358" t="s">
        <v>1022</v>
      </c>
      <c r="I358" t="s">
        <v>1022</v>
      </c>
      <c r="J358" t="s">
        <v>1023</v>
      </c>
      <c r="K358" t="s">
        <v>1025</v>
      </c>
      <c r="L358">
        <v>7</v>
      </c>
      <c r="M358">
        <v>17</v>
      </c>
      <c r="N358">
        <v>11600000</v>
      </c>
      <c r="O358">
        <f>PropertyData[[#This Row],[Price]]/PropertyData[[#This Row],[Area_sqft]]</f>
        <v>7661.8229854689562</v>
      </c>
      <c r="P358" t="str">
        <f t="shared" si="5"/>
        <v>Premium</v>
      </c>
    </row>
    <row r="359" spans="1:16">
      <c r="A359" t="s">
        <v>371</v>
      </c>
      <c r="B359" t="s">
        <v>1014</v>
      </c>
      <c r="C359">
        <v>924</v>
      </c>
      <c r="D359">
        <v>2</v>
      </c>
      <c r="E359">
        <v>2</v>
      </c>
      <c r="F359">
        <v>18</v>
      </c>
      <c r="G359" t="s">
        <v>1023</v>
      </c>
      <c r="H359" t="s">
        <v>1022</v>
      </c>
      <c r="I359" t="s">
        <v>1023</v>
      </c>
      <c r="J359" t="s">
        <v>1022</v>
      </c>
      <c r="K359" t="s">
        <v>1025</v>
      </c>
      <c r="L359">
        <v>20</v>
      </c>
      <c r="M359">
        <v>23</v>
      </c>
      <c r="N359">
        <v>6450000</v>
      </c>
      <c r="O359">
        <f>PropertyData[[#This Row],[Price]]/PropertyData[[#This Row],[Area_sqft]]</f>
        <v>6980.5194805194806</v>
      </c>
      <c r="P359" t="str">
        <f t="shared" si="5"/>
        <v>Mid-Range</v>
      </c>
    </row>
    <row r="360" spans="1:16">
      <c r="A360" t="s">
        <v>372</v>
      </c>
      <c r="B360" t="s">
        <v>1021</v>
      </c>
      <c r="C360">
        <v>1472</v>
      </c>
      <c r="D360">
        <v>3</v>
      </c>
      <c r="E360">
        <v>3</v>
      </c>
      <c r="F360">
        <v>22</v>
      </c>
      <c r="G360" t="s">
        <v>1023</v>
      </c>
      <c r="H360" t="s">
        <v>1022</v>
      </c>
      <c r="I360" t="s">
        <v>1023</v>
      </c>
      <c r="J360" t="s">
        <v>1022</v>
      </c>
      <c r="K360" t="s">
        <v>1026</v>
      </c>
      <c r="L360">
        <v>19</v>
      </c>
      <c r="M360">
        <v>19</v>
      </c>
      <c r="N360">
        <v>10450000</v>
      </c>
      <c r="O360">
        <f>PropertyData[[#This Row],[Price]]/PropertyData[[#This Row],[Area_sqft]]</f>
        <v>7099.184782608696</v>
      </c>
      <c r="P360" t="str">
        <f t="shared" si="5"/>
        <v>Premium</v>
      </c>
    </row>
    <row r="361" spans="1:16">
      <c r="A361" t="s">
        <v>373</v>
      </c>
      <c r="B361" t="s">
        <v>1016</v>
      </c>
      <c r="C361">
        <v>592</v>
      </c>
      <c r="D361">
        <v>1</v>
      </c>
      <c r="E361">
        <v>1</v>
      </c>
      <c r="F361">
        <v>14</v>
      </c>
      <c r="G361" t="s">
        <v>1022</v>
      </c>
      <c r="H361" t="s">
        <v>1023</v>
      </c>
      <c r="I361" t="s">
        <v>1022</v>
      </c>
      <c r="J361" t="s">
        <v>1022</v>
      </c>
      <c r="K361" t="s">
        <v>1025</v>
      </c>
      <c r="L361">
        <v>20</v>
      </c>
      <c r="M361">
        <v>21</v>
      </c>
      <c r="N361">
        <v>2450000</v>
      </c>
      <c r="O361">
        <f>PropertyData[[#This Row],[Price]]/PropertyData[[#This Row],[Area_sqft]]</f>
        <v>4138.5135135135133</v>
      </c>
      <c r="P361" t="str">
        <f t="shared" si="5"/>
        <v>Budget</v>
      </c>
    </row>
    <row r="362" spans="1:16">
      <c r="A362" t="s">
        <v>374</v>
      </c>
      <c r="B362" t="s">
        <v>1015</v>
      </c>
      <c r="C362">
        <v>1490</v>
      </c>
      <c r="D362">
        <v>2</v>
      </c>
      <c r="E362">
        <v>1</v>
      </c>
      <c r="F362">
        <v>28</v>
      </c>
      <c r="G362" t="s">
        <v>1022</v>
      </c>
      <c r="H362" t="s">
        <v>1023</v>
      </c>
      <c r="I362" t="s">
        <v>1023</v>
      </c>
      <c r="J362" t="s">
        <v>1022</v>
      </c>
      <c r="K362" t="s">
        <v>1025</v>
      </c>
      <c r="L362">
        <v>2</v>
      </c>
      <c r="M362">
        <v>5</v>
      </c>
      <c r="N362">
        <v>4000000</v>
      </c>
      <c r="O362">
        <f>PropertyData[[#This Row],[Price]]/PropertyData[[#This Row],[Area_sqft]]</f>
        <v>2684.5637583892617</v>
      </c>
      <c r="P362" t="str">
        <f t="shared" si="5"/>
        <v>Budget</v>
      </c>
    </row>
    <row r="363" spans="1:16">
      <c r="A363" t="s">
        <v>375</v>
      </c>
      <c r="B363" t="s">
        <v>1020</v>
      </c>
      <c r="C363">
        <v>1739</v>
      </c>
      <c r="D363">
        <v>3</v>
      </c>
      <c r="E363">
        <v>3</v>
      </c>
      <c r="F363">
        <v>8</v>
      </c>
      <c r="G363" t="s">
        <v>1022</v>
      </c>
      <c r="H363" t="s">
        <v>1022</v>
      </c>
      <c r="I363" t="s">
        <v>1023</v>
      </c>
      <c r="J363" t="s">
        <v>1022</v>
      </c>
      <c r="K363" t="s">
        <v>1024</v>
      </c>
      <c r="L363">
        <v>20</v>
      </c>
      <c r="M363">
        <v>22</v>
      </c>
      <c r="N363">
        <v>14400000</v>
      </c>
      <c r="O363">
        <f>PropertyData[[#This Row],[Price]]/PropertyData[[#This Row],[Area_sqft]]</f>
        <v>8280.6210465784934</v>
      </c>
      <c r="P363" t="str">
        <f t="shared" si="5"/>
        <v>Premium</v>
      </c>
    </row>
    <row r="364" spans="1:16">
      <c r="A364" t="s">
        <v>376</v>
      </c>
      <c r="B364" t="s">
        <v>1021</v>
      </c>
      <c r="C364">
        <v>1941</v>
      </c>
      <c r="D364">
        <v>4</v>
      </c>
      <c r="E364">
        <v>4</v>
      </c>
      <c r="F364">
        <v>30</v>
      </c>
      <c r="G364" t="s">
        <v>1022</v>
      </c>
      <c r="H364" t="s">
        <v>1022</v>
      </c>
      <c r="I364" t="s">
        <v>1023</v>
      </c>
      <c r="J364" t="s">
        <v>1022</v>
      </c>
      <c r="K364" t="s">
        <v>1025</v>
      </c>
      <c r="L364">
        <v>7</v>
      </c>
      <c r="M364">
        <v>15</v>
      </c>
      <c r="N364">
        <v>10000000</v>
      </c>
      <c r="O364">
        <f>PropertyData[[#This Row],[Price]]/PropertyData[[#This Row],[Area_sqft]]</f>
        <v>5151.9835136527563</v>
      </c>
      <c r="P364" t="str">
        <f t="shared" si="5"/>
        <v>Mid-Range</v>
      </c>
    </row>
    <row r="365" spans="1:16">
      <c r="A365" t="s">
        <v>377</v>
      </c>
      <c r="B365" t="s">
        <v>1016</v>
      </c>
      <c r="C365">
        <v>1247</v>
      </c>
      <c r="D365">
        <v>2</v>
      </c>
      <c r="E365">
        <v>2</v>
      </c>
      <c r="F365">
        <v>17</v>
      </c>
      <c r="G365" t="s">
        <v>1022</v>
      </c>
      <c r="H365" t="s">
        <v>1022</v>
      </c>
      <c r="I365" t="s">
        <v>1023</v>
      </c>
      <c r="J365" t="s">
        <v>1022</v>
      </c>
      <c r="K365" t="s">
        <v>1025</v>
      </c>
      <c r="L365">
        <v>13</v>
      </c>
      <c r="M365">
        <v>18</v>
      </c>
      <c r="N365">
        <v>5800000</v>
      </c>
      <c r="O365">
        <f>PropertyData[[#This Row],[Price]]/PropertyData[[#This Row],[Area_sqft]]</f>
        <v>4651.1627906976746</v>
      </c>
      <c r="P365" t="str">
        <f t="shared" si="5"/>
        <v>Mid-Range</v>
      </c>
    </row>
    <row r="366" spans="1:16">
      <c r="A366" t="s">
        <v>378</v>
      </c>
      <c r="B366" t="s">
        <v>1015</v>
      </c>
      <c r="C366">
        <v>1824</v>
      </c>
      <c r="D366">
        <v>3</v>
      </c>
      <c r="E366">
        <v>3</v>
      </c>
      <c r="F366">
        <v>4</v>
      </c>
      <c r="G366" t="s">
        <v>1022</v>
      </c>
      <c r="H366" t="s">
        <v>1023</v>
      </c>
      <c r="I366" t="s">
        <v>1022</v>
      </c>
      <c r="J366" t="s">
        <v>1022</v>
      </c>
      <c r="K366" t="s">
        <v>1024</v>
      </c>
      <c r="L366">
        <v>7</v>
      </c>
      <c r="M366">
        <v>15</v>
      </c>
      <c r="N366">
        <v>8350000</v>
      </c>
      <c r="O366">
        <f>PropertyData[[#This Row],[Price]]/PropertyData[[#This Row],[Area_sqft]]</f>
        <v>4577.8508771929828</v>
      </c>
      <c r="P366" t="str">
        <f t="shared" si="5"/>
        <v>Mid-Range</v>
      </c>
    </row>
    <row r="367" spans="1:16">
      <c r="A367" t="s">
        <v>379</v>
      </c>
      <c r="B367" t="s">
        <v>1015</v>
      </c>
      <c r="C367">
        <v>1402</v>
      </c>
      <c r="D367">
        <v>4</v>
      </c>
      <c r="E367">
        <v>3</v>
      </c>
      <c r="F367">
        <v>1</v>
      </c>
      <c r="G367" t="s">
        <v>1022</v>
      </c>
      <c r="H367" t="s">
        <v>1022</v>
      </c>
      <c r="I367" t="s">
        <v>1022</v>
      </c>
      <c r="J367" t="s">
        <v>1022</v>
      </c>
      <c r="K367" t="s">
        <v>1025</v>
      </c>
      <c r="L367">
        <v>11</v>
      </c>
      <c r="M367">
        <v>12</v>
      </c>
      <c r="N367">
        <v>6450000</v>
      </c>
      <c r="O367">
        <f>PropertyData[[#This Row],[Price]]/PropertyData[[#This Row],[Area_sqft]]</f>
        <v>4600.5706134094153</v>
      </c>
      <c r="P367" t="str">
        <f t="shared" si="5"/>
        <v>Mid-Range</v>
      </c>
    </row>
    <row r="368" spans="1:16">
      <c r="A368" t="s">
        <v>380</v>
      </c>
      <c r="B368" t="s">
        <v>1016</v>
      </c>
      <c r="C368">
        <v>1808</v>
      </c>
      <c r="D368">
        <v>4</v>
      </c>
      <c r="E368">
        <v>4</v>
      </c>
      <c r="F368">
        <v>16</v>
      </c>
      <c r="G368" t="s">
        <v>1022</v>
      </c>
      <c r="H368" t="s">
        <v>1022</v>
      </c>
      <c r="I368" t="s">
        <v>1022</v>
      </c>
      <c r="J368" t="s">
        <v>1023</v>
      </c>
      <c r="K368" t="s">
        <v>1024</v>
      </c>
      <c r="L368">
        <v>10</v>
      </c>
      <c r="M368">
        <v>18</v>
      </c>
      <c r="N368">
        <v>10650000</v>
      </c>
      <c r="O368">
        <f>PropertyData[[#This Row],[Price]]/PropertyData[[#This Row],[Area_sqft]]</f>
        <v>5890.4867256637172</v>
      </c>
      <c r="P368" t="str">
        <f t="shared" si="5"/>
        <v>Premium</v>
      </c>
    </row>
    <row r="369" spans="1:16">
      <c r="A369" t="s">
        <v>381</v>
      </c>
      <c r="B369" t="s">
        <v>1014</v>
      </c>
      <c r="C369">
        <v>1007</v>
      </c>
      <c r="D369">
        <v>2</v>
      </c>
      <c r="E369">
        <v>2</v>
      </c>
      <c r="F369">
        <v>16</v>
      </c>
      <c r="G369" t="s">
        <v>1022</v>
      </c>
      <c r="H369" t="s">
        <v>1022</v>
      </c>
      <c r="I369" t="s">
        <v>1022</v>
      </c>
      <c r="J369" t="s">
        <v>1022</v>
      </c>
      <c r="K369" t="s">
        <v>1025</v>
      </c>
      <c r="L369">
        <v>10</v>
      </c>
      <c r="M369">
        <v>14</v>
      </c>
      <c r="N369">
        <v>7150000</v>
      </c>
      <c r="O369">
        <f>PropertyData[[#This Row],[Price]]/PropertyData[[#This Row],[Area_sqft]]</f>
        <v>7100.2979145978152</v>
      </c>
      <c r="P369" t="str">
        <f t="shared" si="5"/>
        <v>Mid-Range</v>
      </c>
    </row>
    <row r="370" spans="1:16">
      <c r="A370" t="s">
        <v>382</v>
      </c>
      <c r="B370" t="s">
        <v>1018</v>
      </c>
      <c r="C370">
        <v>1329</v>
      </c>
      <c r="D370">
        <v>3</v>
      </c>
      <c r="E370">
        <v>3</v>
      </c>
      <c r="F370">
        <v>14</v>
      </c>
      <c r="G370" t="s">
        <v>1022</v>
      </c>
      <c r="H370" t="s">
        <v>1023</v>
      </c>
      <c r="I370" t="s">
        <v>1022</v>
      </c>
      <c r="J370" t="s">
        <v>1022</v>
      </c>
      <c r="K370" t="s">
        <v>1024</v>
      </c>
      <c r="L370">
        <v>12</v>
      </c>
      <c r="M370">
        <v>17</v>
      </c>
      <c r="N370">
        <v>7250000</v>
      </c>
      <c r="O370">
        <f>PropertyData[[#This Row],[Price]]/PropertyData[[#This Row],[Area_sqft]]</f>
        <v>5455.2294958615503</v>
      </c>
      <c r="P370" t="str">
        <f t="shared" si="5"/>
        <v>Mid-Range</v>
      </c>
    </row>
    <row r="371" spans="1:16">
      <c r="A371" t="s">
        <v>383</v>
      </c>
      <c r="B371" t="s">
        <v>1017</v>
      </c>
      <c r="C371">
        <v>1753</v>
      </c>
      <c r="D371">
        <v>4</v>
      </c>
      <c r="E371">
        <v>4</v>
      </c>
      <c r="F371">
        <v>20</v>
      </c>
      <c r="G371" t="s">
        <v>1022</v>
      </c>
      <c r="H371" t="s">
        <v>1023</v>
      </c>
      <c r="I371" t="s">
        <v>1023</v>
      </c>
      <c r="J371" t="s">
        <v>1023</v>
      </c>
      <c r="K371" t="s">
        <v>1026</v>
      </c>
      <c r="L371">
        <v>9</v>
      </c>
      <c r="M371">
        <v>20</v>
      </c>
      <c r="N371">
        <v>6750000</v>
      </c>
      <c r="O371">
        <f>PropertyData[[#This Row],[Price]]/PropertyData[[#This Row],[Area_sqft]]</f>
        <v>3850.5419281232175</v>
      </c>
      <c r="P371" t="str">
        <f t="shared" si="5"/>
        <v>Mid-Range</v>
      </c>
    </row>
    <row r="372" spans="1:16">
      <c r="A372" t="s">
        <v>384</v>
      </c>
      <c r="B372" t="s">
        <v>1015</v>
      </c>
      <c r="C372">
        <v>831</v>
      </c>
      <c r="D372">
        <v>1</v>
      </c>
      <c r="E372">
        <v>1</v>
      </c>
      <c r="F372">
        <v>4</v>
      </c>
      <c r="G372" t="s">
        <v>1022</v>
      </c>
      <c r="H372" t="s">
        <v>1022</v>
      </c>
      <c r="I372" t="s">
        <v>1023</v>
      </c>
      <c r="J372" t="s">
        <v>1022</v>
      </c>
      <c r="K372" t="s">
        <v>1026</v>
      </c>
      <c r="L372">
        <v>17</v>
      </c>
      <c r="M372">
        <v>17</v>
      </c>
      <c r="N372">
        <v>3800000</v>
      </c>
      <c r="O372">
        <f>PropertyData[[#This Row],[Price]]/PropertyData[[#This Row],[Area_sqft]]</f>
        <v>4572.8038507821902</v>
      </c>
      <c r="P372" t="str">
        <f t="shared" si="5"/>
        <v>Budget</v>
      </c>
    </row>
    <row r="373" spans="1:16">
      <c r="A373" t="s">
        <v>385</v>
      </c>
      <c r="B373" t="s">
        <v>1019</v>
      </c>
      <c r="C373">
        <v>1191</v>
      </c>
      <c r="D373">
        <v>2</v>
      </c>
      <c r="E373">
        <v>2</v>
      </c>
      <c r="F373">
        <v>3</v>
      </c>
      <c r="G373" t="s">
        <v>1022</v>
      </c>
      <c r="H373" t="s">
        <v>1023</v>
      </c>
      <c r="I373" t="s">
        <v>1023</v>
      </c>
      <c r="J373" t="s">
        <v>1023</v>
      </c>
      <c r="K373" t="s">
        <v>1025</v>
      </c>
      <c r="L373">
        <v>18</v>
      </c>
      <c r="M373">
        <v>23</v>
      </c>
      <c r="N373">
        <v>10450000</v>
      </c>
      <c r="O373">
        <f>PropertyData[[#This Row],[Price]]/PropertyData[[#This Row],[Area_sqft]]</f>
        <v>8774.1393786733843</v>
      </c>
      <c r="P373" t="str">
        <f t="shared" si="5"/>
        <v>Premium</v>
      </c>
    </row>
    <row r="374" spans="1:16">
      <c r="A374" t="s">
        <v>386</v>
      </c>
      <c r="B374" t="s">
        <v>1017</v>
      </c>
      <c r="C374">
        <v>849</v>
      </c>
      <c r="D374">
        <v>2</v>
      </c>
      <c r="E374">
        <v>2</v>
      </c>
      <c r="F374">
        <v>14</v>
      </c>
      <c r="G374" t="s">
        <v>1022</v>
      </c>
      <c r="H374" t="s">
        <v>1023</v>
      </c>
      <c r="I374" t="s">
        <v>1023</v>
      </c>
      <c r="J374" t="s">
        <v>1022</v>
      </c>
      <c r="K374" t="s">
        <v>1025</v>
      </c>
      <c r="L374">
        <v>2</v>
      </c>
      <c r="M374">
        <v>17</v>
      </c>
      <c r="N374">
        <v>3350000</v>
      </c>
      <c r="O374">
        <f>PropertyData[[#This Row],[Price]]/PropertyData[[#This Row],[Area_sqft]]</f>
        <v>3945.8186101295641</v>
      </c>
      <c r="P374" t="str">
        <f t="shared" si="5"/>
        <v>Budget</v>
      </c>
    </row>
    <row r="375" spans="1:16">
      <c r="A375" t="s">
        <v>387</v>
      </c>
      <c r="B375" t="s">
        <v>1021</v>
      </c>
      <c r="C375">
        <v>1291</v>
      </c>
      <c r="D375">
        <v>3</v>
      </c>
      <c r="E375">
        <v>4</v>
      </c>
      <c r="F375">
        <v>21</v>
      </c>
      <c r="G375" t="s">
        <v>1022</v>
      </c>
      <c r="H375" t="s">
        <v>1022</v>
      </c>
      <c r="I375" t="s">
        <v>1023</v>
      </c>
      <c r="J375" t="s">
        <v>1022</v>
      </c>
      <c r="K375" t="s">
        <v>1026</v>
      </c>
      <c r="L375">
        <v>15</v>
      </c>
      <c r="M375">
        <v>16</v>
      </c>
      <c r="N375">
        <v>9550000</v>
      </c>
      <c r="O375">
        <f>PropertyData[[#This Row],[Price]]/PropertyData[[#This Row],[Area_sqft]]</f>
        <v>7397.3663826491093</v>
      </c>
      <c r="P375" t="str">
        <f t="shared" si="5"/>
        <v>Mid-Range</v>
      </c>
    </row>
    <row r="376" spans="1:16">
      <c r="A376" t="s">
        <v>388</v>
      </c>
      <c r="B376" t="s">
        <v>1014</v>
      </c>
      <c r="C376">
        <v>1564</v>
      </c>
      <c r="D376">
        <v>3</v>
      </c>
      <c r="E376">
        <v>3</v>
      </c>
      <c r="F376">
        <v>13</v>
      </c>
      <c r="G376" t="s">
        <v>1023</v>
      </c>
      <c r="H376" t="s">
        <v>1022</v>
      </c>
      <c r="I376" t="s">
        <v>1023</v>
      </c>
      <c r="J376" t="s">
        <v>1022</v>
      </c>
      <c r="K376" t="s">
        <v>1025</v>
      </c>
      <c r="L376">
        <v>19</v>
      </c>
      <c r="M376">
        <v>20</v>
      </c>
      <c r="N376">
        <v>9500000</v>
      </c>
      <c r="O376">
        <f>PropertyData[[#This Row],[Price]]/PropertyData[[#This Row],[Area_sqft]]</f>
        <v>6074.1687979539638</v>
      </c>
      <c r="P376" t="str">
        <f t="shared" si="5"/>
        <v>Mid-Range</v>
      </c>
    </row>
    <row r="377" spans="1:16">
      <c r="A377" t="s">
        <v>389</v>
      </c>
      <c r="B377" t="s">
        <v>1016</v>
      </c>
      <c r="C377">
        <v>1120</v>
      </c>
      <c r="D377">
        <v>2</v>
      </c>
      <c r="E377">
        <v>2</v>
      </c>
      <c r="F377">
        <v>19</v>
      </c>
      <c r="G377" t="s">
        <v>1023</v>
      </c>
      <c r="H377" t="s">
        <v>1022</v>
      </c>
      <c r="I377" t="s">
        <v>1023</v>
      </c>
      <c r="J377" t="s">
        <v>1022</v>
      </c>
      <c r="K377" t="s">
        <v>1024</v>
      </c>
      <c r="L377">
        <v>3</v>
      </c>
      <c r="M377">
        <v>10</v>
      </c>
      <c r="N377">
        <v>4300000</v>
      </c>
      <c r="O377">
        <f>PropertyData[[#This Row],[Price]]/PropertyData[[#This Row],[Area_sqft]]</f>
        <v>3839.2857142857142</v>
      </c>
      <c r="P377" t="str">
        <f t="shared" si="5"/>
        <v>Budget</v>
      </c>
    </row>
    <row r="378" spans="1:16">
      <c r="A378" t="s">
        <v>390</v>
      </c>
      <c r="B378" t="s">
        <v>1018</v>
      </c>
      <c r="C378">
        <v>1176</v>
      </c>
      <c r="D378">
        <v>3</v>
      </c>
      <c r="E378">
        <v>3</v>
      </c>
      <c r="F378">
        <v>13</v>
      </c>
      <c r="G378" t="s">
        <v>1022</v>
      </c>
      <c r="H378" t="s">
        <v>1023</v>
      </c>
      <c r="I378" t="s">
        <v>1023</v>
      </c>
      <c r="J378" t="s">
        <v>1022</v>
      </c>
      <c r="K378" t="s">
        <v>1024</v>
      </c>
      <c r="L378">
        <v>9</v>
      </c>
      <c r="M378">
        <v>9</v>
      </c>
      <c r="N378">
        <v>7200000</v>
      </c>
      <c r="O378">
        <f>PropertyData[[#This Row],[Price]]/PropertyData[[#This Row],[Area_sqft]]</f>
        <v>6122.4489795918371</v>
      </c>
      <c r="P378" t="str">
        <f t="shared" si="5"/>
        <v>Mid-Range</v>
      </c>
    </row>
    <row r="379" spans="1:16">
      <c r="A379" t="s">
        <v>391</v>
      </c>
      <c r="B379" t="s">
        <v>1015</v>
      </c>
      <c r="C379">
        <v>1482</v>
      </c>
      <c r="D379">
        <v>3</v>
      </c>
      <c r="E379">
        <v>3</v>
      </c>
      <c r="F379">
        <v>12</v>
      </c>
      <c r="G379" t="s">
        <v>1022</v>
      </c>
      <c r="H379" t="s">
        <v>1023</v>
      </c>
      <c r="I379" t="s">
        <v>1022</v>
      </c>
      <c r="J379" t="s">
        <v>1022</v>
      </c>
      <c r="K379" t="s">
        <v>1025</v>
      </c>
      <c r="L379">
        <v>13</v>
      </c>
      <c r="M379">
        <v>24</v>
      </c>
      <c r="N379">
        <v>6150000</v>
      </c>
      <c r="O379">
        <f>PropertyData[[#This Row],[Price]]/PropertyData[[#This Row],[Area_sqft]]</f>
        <v>4149.7975708502026</v>
      </c>
      <c r="P379" t="str">
        <f t="shared" si="5"/>
        <v>Mid-Range</v>
      </c>
    </row>
    <row r="380" spans="1:16">
      <c r="A380" t="s">
        <v>392</v>
      </c>
      <c r="B380" t="s">
        <v>1019</v>
      </c>
      <c r="C380">
        <v>1966</v>
      </c>
      <c r="D380">
        <v>4</v>
      </c>
      <c r="E380">
        <v>4</v>
      </c>
      <c r="F380">
        <v>19</v>
      </c>
      <c r="G380" t="s">
        <v>1022</v>
      </c>
      <c r="H380" t="s">
        <v>1022</v>
      </c>
      <c r="I380" t="s">
        <v>1023</v>
      </c>
      <c r="J380" t="s">
        <v>1022</v>
      </c>
      <c r="K380" t="s">
        <v>1025</v>
      </c>
      <c r="L380">
        <v>8</v>
      </c>
      <c r="M380">
        <v>23</v>
      </c>
      <c r="N380">
        <v>13800000</v>
      </c>
      <c r="O380">
        <f>PropertyData[[#This Row],[Price]]/PropertyData[[#This Row],[Area_sqft]]</f>
        <v>7019.3285859613425</v>
      </c>
      <c r="P380" t="str">
        <f t="shared" si="5"/>
        <v>Premium</v>
      </c>
    </row>
    <row r="381" spans="1:16">
      <c r="A381" t="s">
        <v>393</v>
      </c>
      <c r="B381" t="s">
        <v>1017</v>
      </c>
      <c r="C381">
        <v>882</v>
      </c>
      <c r="D381">
        <v>2</v>
      </c>
      <c r="E381">
        <v>3</v>
      </c>
      <c r="F381">
        <v>25</v>
      </c>
      <c r="G381" t="s">
        <v>1022</v>
      </c>
      <c r="H381" t="s">
        <v>1022</v>
      </c>
      <c r="I381" t="s">
        <v>1023</v>
      </c>
      <c r="J381" t="s">
        <v>1022</v>
      </c>
      <c r="K381" t="s">
        <v>1025</v>
      </c>
      <c r="L381">
        <v>13</v>
      </c>
      <c r="M381">
        <v>23</v>
      </c>
      <c r="N381">
        <v>3100000</v>
      </c>
      <c r="O381">
        <f>PropertyData[[#This Row],[Price]]/PropertyData[[#This Row],[Area_sqft]]</f>
        <v>3514.7392290249431</v>
      </c>
      <c r="P381" t="str">
        <f t="shared" si="5"/>
        <v>Budget</v>
      </c>
    </row>
    <row r="382" spans="1:16">
      <c r="A382" t="s">
        <v>394</v>
      </c>
      <c r="B382" t="s">
        <v>1015</v>
      </c>
      <c r="C382">
        <v>889</v>
      </c>
      <c r="D382">
        <v>2</v>
      </c>
      <c r="E382">
        <v>3</v>
      </c>
      <c r="F382">
        <v>17</v>
      </c>
      <c r="G382" t="s">
        <v>1022</v>
      </c>
      <c r="H382" t="s">
        <v>1022</v>
      </c>
      <c r="I382" t="s">
        <v>1022</v>
      </c>
      <c r="J382" t="s">
        <v>1022</v>
      </c>
      <c r="K382" t="s">
        <v>1025</v>
      </c>
      <c r="L382">
        <v>1</v>
      </c>
      <c r="M382">
        <v>5</v>
      </c>
      <c r="N382">
        <v>3300000</v>
      </c>
      <c r="O382">
        <f>PropertyData[[#This Row],[Price]]/PropertyData[[#This Row],[Area_sqft]]</f>
        <v>3712.0359955005624</v>
      </c>
      <c r="P382" t="str">
        <f t="shared" si="5"/>
        <v>Budget</v>
      </c>
    </row>
    <row r="383" spans="1:16">
      <c r="A383" t="s">
        <v>395</v>
      </c>
      <c r="B383" t="s">
        <v>1020</v>
      </c>
      <c r="C383">
        <v>1442</v>
      </c>
      <c r="D383">
        <v>4</v>
      </c>
      <c r="E383">
        <v>4</v>
      </c>
      <c r="F383">
        <v>28</v>
      </c>
      <c r="G383" t="s">
        <v>1023</v>
      </c>
      <c r="H383" t="s">
        <v>1022</v>
      </c>
      <c r="I383" t="s">
        <v>1023</v>
      </c>
      <c r="J383" t="s">
        <v>1023</v>
      </c>
      <c r="K383" t="s">
        <v>1025</v>
      </c>
      <c r="L383">
        <v>1</v>
      </c>
      <c r="M383">
        <v>11</v>
      </c>
      <c r="N383">
        <v>8100000</v>
      </c>
      <c r="O383">
        <f>PropertyData[[#This Row],[Price]]/PropertyData[[#This Row],[Area_sqft]]</f>
        <v>5617.1983356449373</v>
      </c>
      <c r="P383" t="str">
        <f t="shared" si="5"/>
        <v>Mid-Range</v>
      </c>
    </row>
    <row r="384" spans="1:16">
      <c r="A384" t="s">
        <v>396</v>
      </c>
      <c r="B384" t="s">
        <v>1021</v>
      </c>
      <c r="C384">
        <v>1144</v>
      </c>
      <c r="D384">
        <v>2</v>
      </c>
      <c r="E384">
        <v>2</v>
      </c>
      <c r="F384">
        <v>5</v>
      </c>
      <c r="G384" t="s">
        <v>1022</v>
      </c>
      <c r="H384" t="s">
        <v>1022</v>
      </c>
      <c r="I384" t="s">
        <v>1023</v>
      </c>
      <c r="J384" t="s">
        <v>1022</v>
      </c>
      <c r="K384" t="s">
        <v>1025</v>
      </c>
      <c r="L384">
        <v>10</v>
      </c>
      <c r="M384">
        <v>19</v>
      </c>
      <c r="N384">
        <v>6300000</v>
      </c>
      <c r="O384">
        <f>PropertyData[[#This Row],[Price]]/PropertyData[[#This Row],[Area_sqft]]</f>
        <v>5506.9930069930069</v>
      </c>
      <c r="P384" t="str">
        <f t="shared" si="5"/>
        <v>Mid-Range</v>
      </c>
    </row>
    <row r="385" spans="1:16">
      <c r="A385" t="s">
        <v>397</v>
      </c>
      <c r="B385" t="s">
        <v>1015</v>
      </c>
      <c r="C385">
        <v>1571</v>
      </c>
      <c r="D385">
        <v>3</v>
      </c>
      <c r="E385">
        <v>3</v>
      </c>
      <c r="F385">
        <v>3</v>
      </c>
      <c r="G385" t="s">
        <v>1022</v>
      </c>
      <c r="H385" t="s">
        <v>1023</v>
      </c>
      <c r="I385" t="s">
        <v>1023</v>
      </c>
      <c r="J385" t="s">
        <v>1023</v>
      </c>
      <c r="K385" t="s">
        <v>1024</v>
      </c>
      <c r="L385">
        <v>16</v>
      </c>
      <c r="M385">
        <v>18</v>
      </c>
      <c r="N385">
        <v>5150000</v>
      </c>
      <c r="O385">
        <f>PropertyData[[#This Row],[Price]]/PropertyData[[#This Row],[Area_sqft]]</f>
        <v>3278.1667727562062</v>
      </c>
      <c r="P385" t="str">
        <f t="shared" si="5"/>
        <v>Mid-Range</v>
      </c>
    </row>
    <row r="386" spans="1:16">
      <c r="A386" t="s">
        <v>398</v>
      </c>
      <c r="B386" t="s">
        <v>1020</v>
      </c>
      <c r="C386">
        <v>1382</v>
      </c>
      <c r="D386">
        <v>3</v>
      </c>
      <c r="E386">
        <v>3</v>
      </c>
      <c r="F386">
        <v>28</v>
      </c>
      <c r="G386" t="s">
        <v>1023</v>
      </c>
      <c r="H386" t="s">
        <v>1023</v>
      </c>
      <c r="I386" t="s">
        <v>1023</v>
      </c>
      <c r="J386" t="s">
        <v>1022</v>
      </c>
      <c r="K386" t="s">
        <v>1026</v>
      </c>
      <c r="L386">
        <v>8</v>
      </c>
      <c r="M386">
        <v>10</v>
      </c>
      <c r="N386">
        <v>9750000</v>
      </c>
      <c r="O386">
        <f>PropertyData[[#This Row],[Price]]/PropertyData[[#This Row],[Area_sqft]]</f>
        <v>7054.9927641099857</v>
      </c>
      <c r="P386" t="str">
        <f t="shared" ref="P386:P449" si="6">IF(N386&lt;5000000,"Budget",IF(N386&lt;=10000000,"Mid-Range","Premium"))</f>
        <v>Mid-Range</v>
      </c>
    </row>
    <row r="387" spans="1:16">
      <c r="A387" t="s">
        <v>399</v>
      </c>
      <c r="B387" t="s">
        <v>1018</v>
      </c>
      <c r="C387">
        <v>473</v>
      </c>
      <c r="D387">
        <v>1</v>
      </c>
      <c r="E387">
        <v>2</v>
      </c>
      <c r="F387">
        <v>27</v>
      </c>
      <c r="G387" t="s">
        <v>1023</v>
      </c>
      <c r="H387" t="s">
        <v>1023</v>
      </c>
      <c r="I387" t="s">
        <v>1023</v>
      </c>
      <c r="J387" t="s">
        <v>1022</v>
      </c>
      <c r="K387" t="s">
        <v>1025</v>
      </c>
      <c r="L387">
        <v>7</v>
      </c>
      <c r="M387">
        <v>14</v>
      </c>
      <c r="N387">
        <v>1750000</v>
      </c>
      <c r="O387">
        <f>PropertyData[[#This Row],[Price]]/PropertyData[[#This Row],[Area_sqft]]</f>
        <v>3699.788583509514</v>
      </c>
      <c r="P387" t="str">
        <f t="shared" si="6"/>
        <v>Budget</v>
      </c>
    </row>
    <row r="388" spans="1:16">
      <c r="A388" t="s">
        <v>400</v>
      </c>
      <c r="B388" t="s">
        <v>1018</v>
      </c>
      <c r="C388">
        <v>1874</v>
      </c>
      <c r="D388">
        <v>4</v>
      </c>
      <c r="E388">
        <v>4</v>
      </c>
      <c r="F388">
        <v>24</v>
      </c>
      <c r="G388" t="s">
        <v>1022</v>
      </c>
      <c r="H388" t="s">
        <v>1022</v>
      </c>
      <c r="I388" t="s">
        <v>1022</v>
      </c>
      <c r="J388" t="s">
        <v>1022</v>
      </c>
      <c r="K388" t="s">
        <v>1024</v>
      </c>
      <c r="L388">
        <v>13</v>
      </c>
      <c r="M388">
        <v>22</v>
      </c>
      <c r="N388">
        <v>11050000</v>
      </c>
      <c r="O388">
        <f>PropertyData[[#This Row],[Price]]/PropertyData[[#This Row],[Area_sqft]]</f>
        <v>5896.478121664888</v>
      </c>
      <c r="P388" t="str">
        <f t="shared" si="6"/>
        <v>Premium</v>
      </c>
    </row>
    <row r="389" spans="1:16">
      <c r="A389" t="s">
        <v>401</v>
      </c>
      <c r="B389" t="s">
        <v>1014</v>
      </c>
      <c r="C389">
        <v>1226</v>
      </c>
      <c r="D389">
        <v>3</v>
      </c>
      <c r="E389">
        <v>3</v>
      </c>
      <c r="F389">
        <v>21</v>
      </c>
      <c r="G389" t="s">
        <v>1022</v>
      </c>
      <c r="H389" t="s">
        <v>1023</v>
      </c>
      <c r="I389" t="s">
        <v>1023</v>
      </c>
      <c r="J389" t="s">
        <v>1022</v>
      </c>
      <c r="K389" t="s">
        <v>1024</v>
      </c>
      <c r="L389">
        <v>15</v>
      </c>
      <c r="M389">
        <v>22</v>
      </c>
      <c r="N389">
        <v>7250000</v>
      </c>
      <c r="O389">
        <f>PropertyData[[#This Row],[Price]]/PropertyData[[#This Row],[Area_sqft]]</f>
        <v>5913.5399673735728</v>
      </c>
      <c r="P389" t="str">
        <f t="shared" si="6"/>
        <v>Mid-Range</v>
      </c>
    </row>
    <row r="390" spans="1:16">
      <c r="A390" t="s">
        <v>402</v>
      </c>
      <c r="B390" t="s">
        <v>1020</v>
      </c>
      <c r="C390">
        <v>1288</v>
      </c>
      <c r="D390">
        <v>3</v>
      </c>
      <c r="E390">
        <v>3</v>
      </c>
      <c r="F390">
        <v>5</v>
      </c>
      <c r="G390" t="s">
        <v>1022</v>
      </c>
      <c r="H390" t="s">
        <v>1022</v>
      </c>
      <c r="I390" t="s">
        <v>1023</v>
      </c>
      <c r="J390" t="s">
        <v>1023</v>
      </c>
      <c r="K390" t="s">
        <v>1025</v>
      </c>
      <c r="L390">
        <v>8</v>
      </c>
      <c r="M390">
        <v>15</v>
      </c>
      <c r="N390">
        <v>9000000</v>
      </c>
      <c r="O390">
        <f>PropertyData[[#This Row],[Price]]/PropertyData[[#This Row],[Area_sqft]]</f>
        <v>6987.5776397515529</v>
      </c>
      <c r="P390" t="str">
        <f t="shared" si="6"/>
        <v>Mid-Range</v>
      </c>
    </row>
    <row r="391" spans="1:16">
      <c r="A391" t="s">
        <v>403</v>
      </c>
      <c r="B391" t="s">
        <v>1019</v>
      </c>
      <c r="C391">
        <v>1490</v>
      </c>
      <c r="D391">
        <v>3</v>
      </c>
      <c r="E391">
        <v>3</v>
      </c>
      <c r="F391">
        <v>6</v>
      </c>
      <c r="G391" t="s">
        <v>1023</v>
      </c>
      <c r="H391" t="s">
        <v>1023</v>
      </c>
      <c r="I391" t="s">
        <v>1022</v>
      </c>
      <c r="J391" t="s">
        <v>1022</v>
      </c>
      <c r="K391" t="s">
        <v>1025</v>
      </c>
      <c r="L391">
        <v>6</v>
      </c>
      <c r="M391">
        <v>22</v>
      </c>
      <c r="N391">
        <v>12300000</v>
      </c>
      <c r="O391">
        <f>PropertyData[[#This Row],[Price]]/PropertyData[[#This Row],[Area_sqft]]</f>
        <v>8255.0335570469797</v>
      </c>
      <c r="P391" t="str">
        <f t="shared" si="6"/>
        <v>Premium</v>
      </c>
    </row>
    <row r="392" spans="1:16">
      <c r="A392" t="s">
        <v>404</v>
      </c>
      <c r="B392" t="s">
        <v>1015</v>
      </c>
      <c r="C392">
        <v>1279</v>
      </c>
      <c r="D392">
        <v>3</v>
      </c>
      <c r="E392">
        <v>3</v>
      </c>
      <c r="F392">
        <v>10</v>
      </c>
      <c r="G392" t="s">
        <v>1023</v>
      </c>
      <c r="H392" t="s">
        <v>1022</v>
      </c>
      <c r="I392" t="s">
        <v>1023</v>
      </c>
      <c r="J392" t="s">
        <v>1022</v>
      </c>
      <c r="K392" t="s">
        <v>1024</v>
      </c>
      <c r="L392">
        <v>7</v>
      </c>
      <c r="M392">
        <v>14</v>
      </c>
      <c r="N392">
        <v>4750000</v>
      </c>
      <c r="O392">
        <f>PropertyData[[#This Row],[Price]]/PropertyData[[#This Row],[Area_sqft]]</f>
        <v>3713.8389366692727</v>
      </c>
      <c r="P392" t="str">
        <f t="shared" si="6"/>
        <v>Budget</v>
      </c>
    </row>
    <row r="393" spans="1:16">
      <c r="A393" t="s">
        <v>405</v>
      </c>
      <c r="B393" t="s">
        <v>1021</v>
      </c>
      <c r="C393">
        <v>913</v>
      </c>
      <c r="D393">
        <v>2</v>
      </c>
      <c r="E393">
        <v>2</v>
      </c>
      <c r="F393">
        <v>21</v>
      </c>
      <c r="G393" t="s">
        <v>1022</v>
      </c>
      <c r="H393" t="s">
        <v>1023</v>
      </c>
      <c r="I393" t="s">
        <v>1022</v>
      </c>
      <c r="J393" t="s">
        <v>1022</v>
      </c>
      <c r="K393" t="s">
        <v>1026</v>
      </c>
      <c r="L393">
        <v>1</v>
      </c>
      <c r="M393">
        <v>17</v>
      </c>
      <c r="N393">
        <v>7100000</v>
      </c>
      <c r="O393">
        <f>PropertyData[[#This Row],[Price]]/PropertyData[[#This Row],[Area_sqft]]</f>
        <v>7776.5607886089811</v>
      </c>
      <c r="P393" t="str">
        <f t="shared" si="6"/>
        <v>Mid-Range</v>
      </c>
    </row>
    <row r="394" spans="1:16">
      <c r="A394" t="s">
        <v>406</v>
      </c>
      <c r="B394" t="s">
        <v>1015</v>
      </c>
      <c r="C394">
        <v>1082</v>
      </c>
      <c r="D394">
        <v>2</v>
      </c>
      <c r="E394">
        <v>2</v>
      </c>
      <c r="F394">
        <v>17</v>
      </c>
      <c r="G394" t="s">
        <v>1022</v>
      </c>
      <c r="H394" t="s">
        <v>1023</v>
      </c>
      <c r="I394" t="s">
        <v>1023</v>
      </c>
      <c r="J394" t="s">
        <v>1022</v>
      </c>
      <c r="K394" t="s">
        <v>1025</v>
      </c>
      <c r="L394">
        <v>16</v>
      </c>
      <c r="M394">
        <v>20</v>
      </c>
      <c r="N394">
        <v>3700000</v>
      </c>
      <c r="O394">
        <f>PropertyData[[#This Row],[Price]]/PropertyData[[#This Row],[Area_sqft]]</f>
        <v>3419.593345656192</v>
      </c>
      <c r="P394" t="str">
        <f t="shared" si="6"/>
        <v>Budget</v>
      </c>
    </row>
    <row r="395" spans="1:16">
      <c r="A395" t="s">
        <v>407</v>
      </c>
      <c r="B395" t="s">
        <v>1018</v>
      </c>
      <c r="C395">
        <v>1435</v>
      </c>
      <c r="D395">
        <v>3</v>
      </c>
      <c r="E395">
        <v>3</v>
      </c>
      <c r="F395">
        <v>28</v>
      </c>
      <c r="G395" t="s">
        <v>1023</v>
      </c>
      <c r="H395" t="s">
        <v>1022</v>
      </c>
      <c r="I395" t="s">
        <v>1023</v>
      </c>
      <c r="J395" t="s">
        <v>1022</v>
      </c>
      <c r="K395" t="s">
        <v>1024</v>
      </c>
      <c r="L395">
        <v>18</v>
      </c>
      <c r="M395">
        <v>19</v>
      </c>
      <c r="N395">
        <v>7300000</v>
      </c>
      <c r="O395">
        <f>PropertyData[[#This Row],[Price]]/PropertyData[[#This Row],[Area_sqft]]</f>
        <v>5087.1080139372825</v>
      </c>
      <c r="P395" t="str">
        <f t="shared" si="6"/>
        <v>Mid-Range</v>
      </c>
    </row>
    <row r="396" spans="1:16">
      <c r="A396" t="s">
        <v>408</v>
      </c>
      <c r="B396" t="s">
        <v>1015</v>
      </c>
      <c r="C396">
        <v>991</v>
      </c>
      <c r="D396">
        <v>1</v>
      </c>
      <c r="E396">
        <v>1</v>
      </c>
      <c r="F396">
        <v>7</v>
      </c>
      <c r="G396" t="s">
        <v>1022</v>
      </c>
      <c r="H396" t="s">
        <v>1023</v>
      </c>
      <c r="I396" t="s">
        <v>1023</v>
      </c>
      <c r="J396" t="s">
        <v>1022</v>
      </c>
      <c r="K396" t="s">
        <v>1026</v>
      </c>
      <c r="L396">
        <v>8</v>
      </c>
      <c r="M396">
        <v>24</v>
      </c>
      <c r="N396">
        <v>5050000</v>
      </c>
      <c r="O396">
        <f>PropertyData[[#This Row],[Price]]/PropertyData[[#This Row],[Area_sqft]]</f>
        <v>5095.8627648839556</v>
      </c>
      <c r="P396" t="str">
        <f t="shared" si="6"/>
        <v>Mid-Range</v>
      </c>
    </row>
    <row r="397" spans="1:16">
      <c r="A397" t="s">
        <v>409</v>
      </c>
      <c r="B397" t="s">
        <v>1017</v>
      </c>
      <c r="C397">
        <v>818</v>
      </c>
      <c r="D397">
        <v>2</v>
      </c>
      <c r="E397">
        <v>2</v>
      </c>
      <c r="F397">
        <v>17</v>
      </c>
      <c r="G397" t="s">
        <v>1022</v>
      </c>
      <c r="H397" t="s">
        <v>1023</v>
      </c>
      <c r="I397" t="s">
        <v>1023</v>
      </c>
      <c r="J397" t="s">
        <v>1022</v>
      </c>
      <c r="K397" t="s">
        <v>1026</v>
      </c>
      <c r="L397">
        <v>6</v>
      </c>
      <c r="M397">
        <v>19</v>
      </c>
      <c r="N397">
        <v>3750000</v>
      </c>
      <c r="O397">
        <f>PropertyData[[#This Row],[Price]]/PropertyData[[#This Row],[Area_sqft]]</f>
        <v>4584.352078239609</v>
      </c>
      <c r="P397" t="str">
        <f t="shared" si="6"/>
        <v>Budget</v>
      </c>
    </row>
    <row r="398" spans="1:16">
      <c r="A398" t="s">
        <v>410</v>
      </c>
      <c r="B398" t="s">
        <v>1018</v>
      </c>
      <c r="C398">
        <v>1529</v>
      </c>
      <c r="D398">
        <v>3</v>
      </c>
      <c r="E398">
        <v>4</v>
      </c>
      <c r="F398">
        <v>28</v>
      </c>
      <c r="G398" t="s">
        <v>1022</v>
      </c>
      <c r="H398" t="s">
        <v>1022</v>
      </c>
      <c r="I398" t="s">
        <v>1023</v>
      </c>
      <c r="J398" t="s">
        <v>1023</v>
      </c>
      <c r="K398" t="s">
        <v>1025</v>
      </c>
      <c r="L398">
        <v>18</v>
      </c>
      <c r="M398">
        <v>19</v>
      </c>
      <c r="N398">
        <v>7500000</v>
      </c>
      <c r="O398">
        <f>PropertyData[[#This Row],[Price]]/PropertyData[[#This Row],[Area_sqft]]</f>
        <v>4905.1667756703728</v>
      </c>
      <c r="P398" t="str">
        <f t="shared" si="6"/>
        <v>Mid-Range</v>
      </c>
    </row>
    <row r="399" spans="1:16">
      <c r="A399" t="s">
        <v>411</v>
      </c>
      <c r="B399" t="s">
        <v>1018</v>
      </c>
      <c r="C399">
        <v>1569</v>
      </c>
      <c r="D399">
        <v>3</v>
      </c>
      <c r="E399">
        <v>3</v>
      </c>
      <c r="F399">
        <v>16</v>
      </c>
      <c r="G399" t="s">
        <v>1023</v>
      </c>
      <c r="H399" t="s">
        <v>1022</v>
      </c>
      <c r="I399" t="s">
        <v>1023</v>
      </c>
      <c r="J399" t="s">
        <v>1022</v>
      </c>
      <c r="K399" t="s">
        <v>1025</v>
      </c>
      <c r="L399">
        <v>9</v>
      </c>
      <c r="M399">
        <v>13</v>
      </c>
      <c r="N399">
        <v>7950000</v>
      </c>
      <c r="O399">
        <f>PropertyData[[#This Row],[Price]]/PropertyData[[#This Row],[Area_sqft]]</f>
        <v>5066.9216061185471</v>
      </c>
      <c r="P399" t="str">
        <f t="shared" si="6"/>
        <v>Mid-Range</v>
      </c>
    </row>
    <row r="400" spans="1:16">
      <c r="A400" t="s">
        <v>412</v>
      </c>
      <c r="B400" t="s">
        <v>1018</v>
      </c>
      <c r="C400">
        <v>1836</v>
      </c>
      <c r="D400">
        <v>4</v>
      </c>
      <c r="E400">
        <v>4</v>
      </c>
      <c r="F400">
        <v>22</v>
      </c>
      <c r="G400" t="s">
        <v>1023</v>
      </c>
      <c r="H400" t="s">
        <v>1023</v>
      </c>
      <c r="I400" t="s">
        <v>1023</v>
      </c>
      <c r="J400" t="s">
        <v>1022</v>
      </c>
      <c r="K400" t="s">
        <v>1025</v>
      </c>
      <c r="L400">
        <v>1</v>
      </c>
      <c r="M400">
        <v>2</v>
      </c>
      <c r="N400">
        <v>8200000</v>
      </c>
      <c r="O400">
        <f>PropertyData[[#This Row],[Price]]/PropertyData[[#This Row],[Area_sqft]]</f>
        <v>4466.2309368191718</v>
      </c>
      <c r="P400" t="str">
        <f t="shared" si="6"/>
        <v>Mid-Range</v>
      </c>
    </row>
    <row r="401" spans="1:16">
      <c r="A401" t="s">
        <v>413</v>
      </c>
      <c r="B401" t="s">
        <v>1018</v>
      </c>
      <c r="C401">
        <v>1307</v>
      </c>
      <c r="D401">
        <v>2</v>
      </c>
      <c r="E401">
        <v>2</v>
      </c>
      <c r="F401">
        <v>27</v>
      </c>
      <c r="G401" t="s">
        <v>1022</v>
      </c>
      <c r="H401" t="s">
        <v>1023</v>
      </c>
      <c r="I401" t="s">
        <v>1023</v>
      </c>
      <c r="J401" t="s">
        <v>1022</v>
      </c>
      <c r="K401" t="s">
        <v>1025</v>
      </c>
      <c r="L401">
        <v>2</v>
      </c>
      <c r="M401">
        <v>24</v>
      </c>
      <c r="N401">
        <v>4900000</v>
      </c>
      <c r="O401">
        <f>PropertyData[[#This Row],[Price]]/PropertyData[[#This Row],[Area_sqft]]</f>
        <v>3749.0436113236419</v>
      </c>
      <c r="P401" t="str">
        <f t="shared" si="6"/>
        <v>Budget</v>
      </c>
    </row>
    <row r="402" spans="1:16">
      <c r="A402" t="s">
        <v>414</v>
      </c>
      <c r="B402" t="s">
        <v>1019</v>
      </c>
      <c r="C402">
        <v>783</v>
      </c>
      <c r="D402">
        <v>1</v>
      </c>
      <c r="E402">
        <v>2</v>
      </c>
      <c r="F402">
        <v>16</v>
      </c>
      <c r="G402" t="s">
        <v>1022</v>
      </c>
      <c r="H402" t="s">
        <v>1023</v>
      </c>
      <c r="I402" t="s">
        <v>1023</v>
      </c>
      <c r="J402" t="s">
        <v>1023</v>
      </c>
      <c r="K402" t="s">
        <v>1025</v>
      </c>
      <c r="L402">
        <v>19</v>
      </c>
      <c r="M402">
        <v>24</v>
      </c>
      <c r="N402">
        <v>5250000</v>
      </c>
      <c r="O402">
        <f>PropertyData[[#This Row],[Price]]/PropertyData[[#This Row],[Area_sqft]]</f>
        <v>6704.9808429118775</v>
      </c>
      <c r="P402" t="str">
        <f t="shared" si="6"/>
        <v>Mid-Range</v>
      </c>
    </row>
    <row r="403" spans="1:16">
      <c r="A403" t="s">
        <v>415</v>
      </c>
      <c r="B403" t="s">
        <v>1019</v>
      </c>
      <c r="C403">
        <v>844</v>
      </c>
      <c r="D403">
        <v>1</v>
      </c>
      <c r="E403">
        <v>1</v>
      </c>
      <c r="F403">
        <v>13</v>
      </c>
      <c r="G403" t="s">
        <v>1022</v>
      </c>
      <c r="H403" t="s">
        <v>1023</v>
      </c>
      <c r="I403" t="s">
        <v>1023</v>
      </c>
      <c r="J403" t="s">
        <v>1022</v>
      </c>
      <c r="K403" t="s">
        <v>1025</v>
      </c>
      <c r="L403">
        <v>9</v>
      </c>
      <c r="M403">
        <v>19</v>
      </c>
      <c r="N403">
        <v>5550000</v>
      </c>
      <c r="O403">
        <f>PropertyData[[#This Row],[Price]]/PropertyData[[#This Row],[Area_sqft]]</f>
        <v>6575.8293838862555</v>
      </c>
      <c r="P403" t="str">
        <f t="shared" si="6"/>
        <v>Mid-Range</v>
      </c>
    </row>
    <row r="404" spans="1:16">
      <c r="A404" t="s">
        <v>416</v>
      </c>
      <c r="B404" t="s">
        <v>1014</v>
      </c>
      <c r="C404">
        <v>808</v>
      </c>
      <c r="D404">
        <v>2</v>
      </c>
      <c r="E404">
        <v>2</v>
      </c>
      <c r="F404">
        <v>21</v>
      </c>
      <c r="G404" t="s">
        <v>1022</v>
      </c>
      <c r="H404" t="s">
        <v>1022</v>
      </c>
      <c r="I404" t="s">
        <v>1023</v>
      </c>
      <c r="J404" t="s">
        <v>1022</v>
      </c>
      <c r="K404" t="s">
        <v>1025</v>
      </c>
      <c r="L404">
        <v>11</v>
      </c>
      <c r="M404">
        <v>14</v>
      </c>
      <c r="N404">
        <v>5250000</v>
      </c>
      <c r="O404">
        <f>PropertyData[[#This Row],[Price]]/PropertyData[[#This Row],[Area_sqft]]</f>
        <v>6497.5247524752476</v>
      </c>
      <c r="P404" t="str">
        <f t="shared" si="6"/>
        <v>Mid-Range</v>
      </c>
    </row>
    <row r="405" spans="1:16">
      <c r="A405" t="s">
        <v>417</v>
      </c>
      <c r="B405" t="s">
        <v>1015</v>
      </c>
      <c r="C405">
        <v>967</v>
      </c>
      <c r="D405">
        <v>2</v>
      </c>
      <c r="E405">
        <v>2</v>
      </c>
      <c r="F405">
        <v>17</v>
      </c>
      <c r="G405" t="s">
        <v>1022</v>
      </c>
      <c r="H405" t="s">
        <v>1022</v>
      </c>
      <c r="I405" t="s">
        <v>1023</v>
      </c>
      <c r="J405" t="s">
        <v>1022</v>
      </c>
      <c r="K405" t="s">
        <v>1025</v>
      </c>
      <c r="L405">
        <v>14</v>
      </c>
      <c r="M405">
        <v>21</v>
      </c>
      <c r="N405">
        <v>3500000</v>
      </c>
      <c r="O405">
        <f>PropertyData[[#This Row],[Price]]/PropertyData[[#This Row],[Area_sqft]]</f>
        <v>3619.4415718717682</v>
      </c>
      <c r="P405" t="str">
        <f t="shared" si="6"/>
        <v>Budget</v>
      </c>
    </row>
    <row r="406" spans="1:16">
      <c r="A406" t="s">
        <v>418</v>
      </c>
      <c r="B406" t="s">
        <v>1015</v>
      </c>
      <c r="C406">
        <v>1137</v>
      </c>
      <c r="D406">
        <v>2</v>
      </c>
      <c r="E406">
        <v>1</v>
      </c>
      <c r="F406">
        <v>28</v>
      </c>
      <c r="G406" t="s">
        <v>1022</v>
      </c>
      <c r="H406" t="s">
        <v>1022</v>
      </c>
      <c r="I406" t="s">
        <v>1023</v>
      </c>
      <c r="J406" t="s">
        <v>1022</v>
      </c>
      <c r="K406" t="s">
        <v>1024</v>
      </c>
      <c r="L406">
        <v>16</v>
      </c>
      <c r="M406">
        <v>21</v>
      </c>
      <c r="N406">
        <v>3700000</v>
      </c>
      <c r="O406">
        <f>PropertyData[[#This Row],[Price]]/PropertyData[[#This Row],[Area_sqft]]</f>
        <v>3254.1776605101145</v>
      </c>
      <c r="P406" t="str">
        <f t="shared" si="6"/>
        <v>Budget</v>
      </c>
    </row>
    <row r="407" spans="1:16">
      <c r="A407" t="s">
        <v>419</v>
      </c>
      <c r="B407" t="s">
        <v>1018</v>
      </c>
      <c r="C407">
        <v>934</v>
      </c>
      <c r="D407">
        <v>2</v>
      </c>
      <c r="E407">
        <v>2</v>
      </c>
      <c r="F407">
        <v>14</v>
      </c>
      <c r="G407" t="s">
        <v>1023</v>
      </c>
      <c r="H407" t="s">
        <v>1023</v>
      </c>
      <c r="I407" t="s">
        <v>1023</v>
      </c>
      <c r="J407" t="s">
        <v>1022</v>
      </c>
      <c r="K407" t="s">
        <v>1025</v>
      </c>
      <c r="L407">
        <v>19</v>
      </c>
      <c r="M407">
        <v>20</v>
      </c>
      <c r="N407">
        <v>3950000</v>
      </c>
      <c r="O407">
        <f>PropertyData[[#This Row],[Price]]/PropertyData[[#This Row],[Area_sqft]]</f>
        <v>4229.1220556745184</v>
      </c>
      <c r="P407" t="str">
        <f t="shared" si="6"/>
        <v>Budget</v>
      </c>
    </row>
    <row r="408" spans="1:16">
      <c r="A408" t="s">
        <v>420</v>
      </c>
      <c r="B408" t="s">
        <v>1019</v>
      </c>
      <c r="C408">
        <v>1467</v>
      </c>
      <c r="D408">
        <v>3</v>
      </c>
      <c r="E408">
        <v>3</v>
      </c>
      <c r="F408">
        <v>19</v>
      </c>
      <c r="G408" t="s">
        <v>1022</v>
      </c>
      <c r="H408" t="s">
        <v>1022</v>
      </c>
      <c r="I408" t="s">
        <v>1023</v>
      </c>
      <c r="J408" t="s">
        <v>1022</v>
      </c>
      <c r="K408" t="s">
        <v>1025</v>
      </c>
      <c r="L408">
        <v>6</v>
      </c>
      <c r="M408">
        <v>18</v>
      </c>
      <c r="N408">
        <v>11500000</v>
      </c>
      <c r="O408">
        <f>PropertyData[[#This Row],[Price]]/PropertyData[[#This Row],[Area_sqft]]</f>
        <v>7839.1274710293119</v>
      </c>
      <c r="P408" t="str">
        <f t="shared" si="6"/>
        <v>Premium</v>
      </c>
    </row>
    <row r="409" spans="1:16">
      <c r="A409" t="s">
        <v>421</v>
      </c>
      <c r="B409" t="s">
        <v>1020</v>
      </c>
      <c r="C409">
        <v>1193</v>
      </c>
      <c r="D409">
        <v>2</v>
      </c>
      <c r="E409">
        <v>2</v>
      </c>
      <c r="F409">
        <v>26</v>
      </c>
      <c r="G409" t="s">
        <v>1023</v>
      </c>
      <c r="H409" t="s">
        <v>1022</v>
      </c>
      <c r="I409" t="s">
        <v>1023</v>
      </c>
      <c r="J409" t="s">
        <v>1022</v>
      </c>
      <c r="K409" t="s">
        <v>1025</v>
      </c>
      <c r="L409">
        <v>6</v>
      </c>
      <c r="M409">
        <v>21</v>
      </c>
      <c r="N409">
        <v>6800000</v>
      </c>
      <c r="O409">
        <f>PropertyData[[#This Row],[Price]]/PropertyData[[#This Row],[Area_sqft]]</f>
        <v>5699.9161777032687</v>
      </c>
      <c r="P409" t="str">
        <f t="shared" si="6"/>
        <v>Mid-Range</v>
      </c>
    </row>
    <row r="410" spans="1:16">
      <c r="A410" t="s">
        <v>422</v>
      </c>
      <c r="B410" t="s">
        <v>1015</v>
      </c>
      <c r="C410">
        <v>1281</v>
      </c>
      <c r="D410">
        <v>3</v>
      </c>
      <c r="E410">
        <v>3</v>
      </c>
      <c r="F410">
        <v>8</v>
      </c>
      <c r="G410" t="s">
        <v>1022</v>
      </c>
      <c r="H410" t="s">
        <v>1023</v>
      </c>
      <c r="I410" t="s">
        <v>1023</v>
      </c>
      <c r="J410" t="s">
        <v>1022</v>
      </c>
      <c r="K410" t="s">
        <v>1025</v>
      </c>
      <c r="L410">
        <v>11</v>
      </c>
      <c r="M410">
        <v>17</v>
      </c>
      <c r="N410">
        <v>4200000</v>
      </c>
      <c r="O410">
        <f>PropertyData[[#This Row],[Price]]/PropertyData[[#This Row],[Area_sqft]]</f>
        <v>3278.688524590164</v>
      </c>
      <c r="P410" t="str">
        <f t="shared" si="6"/>
        <v>Budget</v>
      </c>
    </row>
    <row r="411" spans="1:16">
      <c r="A411" t="s">
        <v>423</v>
      </c>
      <c r="B411" t="s">
        <v>1020</v>
      </c>
      <c r="C411">
        <v>1103</v>
      </c>
      <c r="D411">
        <v>2</v>
      </c>
      <c r="E411">
        <v>2</v>
      </c>
      <c r="F411">
        <v>3</v>
      </c>
      <c r="G411" t="s">
        <v>1022</v>
      </c>
      <c r="H411" t="s">
        <v>1022</v>
      </c>
      <c r="I411" t="s">
        <v>1023</v>
      </c>
      <c r="J411" t="s">
        <v>1023</v>
      </c>
      <c r="K411" t="s">
        <v>1025</v>
      </c>
      <c r="L411">
        <v>15</v>
      </c>
      <c r="M411">
        <v>24</v>
      </c>
      <c r="N411">
        <v>6950000</v>
      </c>
      <c r="O411">
        <f>PropertyData[[#This Row],[Price]]/PropertyData[[#This Row],[Area_sqft]]</f>
        <v>6300.9972801450585</v>
      </c>
      <c r="P411" t="str">
        <f t="shared" si="6"/>
        <v>Mid-Range</v>
      </c>
    </row>
    <row r="412" spans="1:16">
      <c r="A412" t="s">
        <v>424</v>
      </c>
      <c r="B412" t="s">
        <v>1021</v>
      </c>
      <c r="C412">
        <v>1639</v>
      </c>
      <c r="D412">
        <v>3</v>
      </c>
      <c r="E412">
        <v>2</v>
      </c>
      <c r="F412">
        <v>27</v>
      </c>
      <c r="G412" t="s">
        <v>1022</v>
      </c>
      <c r="H412" t="s">
        <v>1022</v>
      </c>
      <c r="I412" t="s">
        <v>1023</v>
      </c>
      <c r="J412" t="s">
        <v>1022</v>
      </c>
      <c r="K412" t="s">
        <v>1024</v>
      </c>
      <c r="L412">
        <v>4</v>
      </c>
      <c r="M412">
        <v>21</v>
      </c>
      <c r="N412">
        <v>9750000</v>
      </c>
      <c r="O412">
        <f>PropertyData[[#This Row],[Price]]/PropertyData[[#This Row],[Area_sqft]]</f>
        <v>5948.7492373398418</v>
      </c>
      <c r="P412" t="str">
        <f t="shared" si="6"/>
        <v>Mid-Range</v>
      </c>
    </row>
    <row r="413" spans="1:16">
      <c r="A413" t="s">
        <v>425</v>
      </c>
      <c r="B413" t="s">
        <v>1014</v>
      </c>
      <c r="C413">
        <v>984</v>
      </c>
      <c r="D413">
        <v>2</v>
      </c>
      <c r="E413">
        <v>2</v>
      </c>
      <c r="F413">
        <v>4</v>
      </c>
      <c r="G413" t="s">
        <v>1022</v>
      </c>
      <c r="H413" t="s">
        <v>1022</v>
      </c>
      <c r="I413" t="s">
        <v>1022</v>
      </c>
      <c r="J413" t="s">
        <v>1022</v>
      </c>
      <c r="K413" t="s">
        <v>1025</v>
      </c>
      <c r="L413">
        <v>14</v>
      </c>
      <c r="M413">
        <v>21</v>
      </c>
      <c r="N413">
        <v>7650000</v>
      </c>
      <c r="O413">
        <f>PropertyData[[#This Row],[Price]]/PropertyData[[#This Row],[Area_sqft]]</f>
        <v>7774.3902439024387</v>
      </c>
      <c r="P413" t="str">
        <f t="shared" si="6"/>
        <v>Mid-Range</v>
      </c>
    </row>
    <row r="414" spans="1:16">
      <c r="A414" t="s">
        <v>426</v>
      </c>
      <c r="B414" t="s">
        <v>1020</v>
      </c>
      <c r="C414">
        <v>1491</v>
      </c>
      <c r="D414">
        <v>4</v>
      </c>
      <c r="E414">
        <v>4</v>
      </c>
      <c r="F414">
        <v>23</v>
      </c>
      <c r="G414" t="s">
        <v>1022</v>
      </c>
      <c r="H414" t="s">
        <v>1023</v>
      </c>
      <c r="I414" t="s">
        <v>1022</v>
      </c>
      <c r="J414" t="s">
        <v>1023</v>
      </c>
      <c r="K414" t="s">
        <v>1025</v>
      </c>
      <c r="L414">
        <v>8</v>
      </c>
      <c r="M414">
        <v>18</v>
      </c>
      <c r="N414">
        <v>8350000</v>
      </c>
      <c r="O414">
        <f>PropertyData[[#This Row],[Price]]/PropertyData[[#This Row],[Area_sqft]]</f>
        <v>5600.2682763246139</v>
      </c>
      <c r="P414" t="str">
        <f t="shared" si="6"/>
        <v>Mid-Range</v>
      </c>
    </row>
    <row r="415" spans="1:16">
      <c r="A415" t="s">
        <v>427</v>
      </c>
      <c r="B415" t="s">
        <v>1017</v>
      </c>
      <c r="C415">
        <v>1499</v>
      </c>
      <c r="D415">
        <v>4</v>
      </c>
      <c r="E415">
        <v>4</v>
      </c>
      <c r="F415">
        <v>15</v>
      </c>
      <c r="G415" t="s">
        <v>1022</v>
      </c>
      <c r="H415" t="s">
        <v>1023</v>
      </c>
      <c r="I415" t="s">
        <v>1022</v>
      </c>
      <c r="J415" t="s">
        <v>1023</v>
      </c>
      <c r="K415" t="s">
        <v>1025</v>
      </c>
      <c r="L415">
        <v>4</v>
      </c>
      <c r="M415">
        <v>21</v>
      </c>
      <c r="N415">
        <v>5600000</v>
      </c>
      <c r="O415">
        <f>PropertyData[[#This Row],[Price]]/PropertyData[[#This Row],[Area_sqft]]</f>
        <v>3735.8238825883923</v>
      </c>
      <c r="P415" t="str">
        <f t="shared" si="6"/>
        <v>Mid-Range</v>
      </c>
    </row>
    <row r="416" spans="1:16">
      <c r="A416" t="s">
        <v>428</v>
      </c>
      <c r="B416" t="s">
        <v>1021</v>
      </c>
      <c r="C416">
        <v>1324</v>
      </c>
      <c r="D416">
        <v>3</v>
      </c>
      <c r="E416">
        <v>3</v>
      </c>
      <c r="F416">
        <v>26</v>
      </c>
      <c r="G416" t="s">
        <v>1022</v>
      </c>
      <c r="H416" t="s">
        <v>1022</v>
      </c>
      <c r="I416" t="s">
        <v>1023</v>
      </c>
      <c r="J416" t="s">
        <v>1023</v>
      </c>
      <c r="K416" t="s">
        <v>1024</v>
      </c>
      <c r="L416">
        <v>14</v>
      </c>
      <c r="M416">
        <v>14</v>
      </c>
      <c r="N416">
        <v>7500000</v>
      </c>
      <c r="O416">
        <f>PropertyData[[#This Row],[Price]]/PropertyData[[#This Row],[Area_sqft]]</f>
        <v>5664.6525679758306</v>
      </c>
      <c r="P416" t="str">
        <f t="shared" si="6"/>
        <v>Mid-Range</v>
      </c>
    </row>
    <row r="417" spans="1:16">
      <c r="A417" t="s">
        <v>429</v>
      </c>
      <c r="B417" t="s">
        <v>1019</v>
      </c>
      <c r="C417">
        <v>1075</v>
      </c>
      <c r="D417">
        <v>2</v>
      </c>
      <c r="E417">
        <v>1</v>
      </c>
      <c r="F417">
        <v>0</v>
      </c>
      <c r="G417" t="s">
        <v>1022</v>
      </c>
      <c r="H417" t="s">
        <v>1022</v>
      </c>
      <c r="I417" t="s">
        <v>1023</v>
      </c>
      <c r="J417" t="s">
        <v>1022</v>
      </c>
      <c r="K417" t="s">
        <v>1024</v>
      </c>
      <c r="L417">
        <v>3</v>
      </c>
      <c r="M417">
        <v>10</v>
      </c>
      <c r="N417">
        <v>11200000</v>
      </c>
      <c r="O417">
        <f>PropertyData[[#This Row],[Price]]/PropertyData[[#This Row],[Area_sqft]]</f>
        <v>10418.60465116279</v>
      </c>
      <c r="P417" t="str">
        <f t="shared" si="6"/>
        <v>Premium</v>
      </c>
    </row>
    <row r="418" spans="1:16">
      <c r="A418" t="s">
        <v>430</v>
      </c>
      <c r="B418" t="s">
        <v>1016</v>
      </c>
      <c r="C418">
        <v>1427</v>
      </c>
      <c r="D418">
        <v>3</v>
      </c>
      <c r="E418">
        <v>3</v>
      </c>
      <c r="F418">
        <v>29</v>
      </c>
      <c r="G418" t="s">
        <v>1022</v>
      </c>
      <c r="H418" t="s">
        <v>1022</v>
      </c>
      <c r="I418" t="s">
        <v>1022</v>
      </c>
      <c r="J418" t="s">
        <v>1022</v>
      </c>
      <c r="K418" t="s">
        <v>1024</v>
      </c>
      <c r="L418">
        <v>8</v>
      </c>
      <c r="M418">
        <v>14</v>
      </c>
      <c r="N418">
        <v>7150000</v>
      </c>
      <c r="O418">
        <f>PropertyData[[#This Row],[Price]]/PropertyData[[#This Row],[Area_sqft]]</f>
        <v>5010.5115627189907</v>
      </c>
      <c r="P418" t="str">
        <f t="shared" si="6"/>
        <v>Mid-Range</v>
      </c>
    </row>
    <row r="419" spans="1:16">
      <c r="A419" t="s">
        <v>431</v>
      </c>
      <c r="B419" t="s">
        <v>1016</v>
      </c>
      <c r="C419">
        <v>1288</v>
      </c>
      <c r="D419">
        <v>3</v>
      </c>
      <c r="E419">
        <v>2</v>
      </c>
      <c r="F419">
        <v>13</v>
      </c>
      <c r="G419" t="s">
        <v>1022</v>
      </c>
      <c r="H419" t="s">
        <v>1023</v>
      </c>
      <c r="I419" t="s">
        <v>1023</v>
      </c>
      <c r="J419" t="s">
        <v>1022</v>
      </c>
      <c r="K419" t="s">
        <v>1024</v>
      </c>
      <c r="L419">
        <v>20</v>
      </c>
      <c r="M419">
        <v>23</v>
      </c>
      <c r="N419">
        <v>6200000</v>
      </c>
      <c r="O419">
        <f>PropertyData[[#This Row],[Price]]/PropertyData[[#This Row],[Area_sqft]]</f>
        <v>4813.6645962732919</v>
      </c>
      <c r="P419" t="str">
        <f t="shared" si="6"/>
        <v>Mid-Range</v>
      </c>
    </row>
    <row r="420" spans="1:16">
      <c r="A420" t="s">
        <v>432</v>
      </c>
      <c r="B420" t="s">
        <v>1017</v>
      </c>
      <c r="C420">
        <v>1520</v>
      </c>
      <c r="D420">
        <v>3</v>
      </c>
      <c r="E420">
        <v>3</v>
      </c>
      <c r="F420">
        <v>11</v>
      </c>
      <c r="G420" t="s">
        <v>1022</v>
      </c>
      <c r="H420" t="s">
        <v>1023</v>
      </c>
      <c r="I420" t="s">
        <v>1023</v>
      </c>
      <c r="J420" t="s">
        <v>1022</v>
      </c>
      <c r="K420" t="s">
        <v>1025</v>
      </c>
      <c r="L420">
        <v>16</v>
      </c>
      <c r="M420">
        <v>19</v>
      </c>
      <c r="N420">
        <v>5400000</v>
      </c>
      <c r="O420">
        <f>PropertyData[[#This Row],[Price]]/PropertyData[[#This Row],[Area_sqft]]</f>
        <v>3552.6315789473683</v>
      </c>
      <c r="P420" t="str">
        <f t="shared" si="6"/>
        <v>Mid-Range</v>
      </c>
    </row>
    <row r="421" spans="1:16">
      <c r="A421" t="s">
        <v>433</v>
      </c>
      <c r="B421" t="s">
        <v>1018</v>
      </c>
      <c r="C421">
        <v>2322</v>
      </c>
      <c r="D421">
        <v>5</v>
      </c>
      <c r="E421">
        <v>5</v>
      </c>
      <c r="F421">
        <v>27</v>
      </c>
      <c r="G421" t="s">
        <v>1022</v>
      </c>
      <c r="H421" t="s">
        <v>1023</v>
      </c>
      <c r="I421" t="s">
        <v>1023</v>
      </c>
      <c r="J421" t="s">
        <v>1022</v>
      </c>
      <c r="K421" t="s">
        <v>1025</v>
      </c>
      <c r="L421">
        <v>8</v>
      </c>
      <c r="M421">
        <v>9</v>
      </c>
      <c r="N421">
        <v>10200000</v>
      </c>
      <c r="O421">
        <f>PropertyData[[#This Row],[Price]]/PropertyData[[#This Row],[Area_sqft]]</f>
        <v>4392.7648578811368</v>
      </c>
      <c r="P421" t="str">
        <f t="shared" si="6"/>
        <v>Premium</v>
      </c>
    </row>
    <row r="422" spans="1:16">
      <c r="A422" t="s">
        <v>434</v>
      </c>
      <c r="B422" t="s">
        <v>1018</v>
      </c>
      <c r="C422">
        <v>1354</v>
      </c>
      <c r="D422">
        <v>3</v>
      </c>
      <c r="E422">
        <v>3</v>
      </c>
      <c r="F422">
        <v>12</v>
      </c>
      <c r="G422" t="s">
        <v>1023</v>
      </c>
      <c r="H422" t="s">
        <v>1022</v>
      </c>
      <c r="I422" t="s">
        <v>1023</v>
      </c>
      <c r="J422" t="s">
        <v>1023</v>
      </c>
      <c r="K422" t="s">
        <v>1026</v>
      </c>
      <c r="L422">
        <v>19</v>
      </c>
      <c r="M422">
        <v>21</v>
      </c>
      <c r="N422">
        <v>9250000</v>
      </c>
      <c r="O422">
        <f>PropertyData[[#This Row],[Price]]/PropertyData[[#This Row],[Area_sqft]]</f>
        <v>6831.6100443131463</v>
      </c>
      <c r="P422" t="str">
        <f t="shared" si="6"/>
        <v>Mid-Range</v>
      </c>
    </row>
    <row r="423" spans="1:16">
      <c r="A423" t="s">
        <v>435</v>
      </c>
      <c r="B423" t="s">
        <v>1015</v>
      </c>
      <c r="C423">
        <v>1846</v>
      </c>
      <c r="D423">
        <v>4</v>
      </c>
      <c r="E423">
        <v>5</v>
      </c>
      <c r="F423">
        <v>10</v>
      </c>
      <c r="G423" t="s">
        <v>1022</v>
      </c>
      <c r="H423" t="s">
        <v>1023</v>
      </c>
      <c r="I423" t="s">
        <v>1023</v>
      </c>
      <c r="J423" t="s">
        <v>1022</v>
      </c>
      <c r="K423" t="s">
        <v>1025</v>
      </c>
      <c r="L423">
        <v>9</v>
      </c>
      <c r="M423">
        <v>23</v>
      </c>
      <c r="N423">
        <v>6300000</v>
      </c>
      <c r="O423">
        <f>PropertyData[[#This Row],[Price]]/PropertyData[[#This Row],[Area_sqft]]</f>
        <v>3412.7843986998919</v>
      </c>
      <c r="P423" t="str">
        <f t="shared" si="6"/>
        <v>Mid-Range</v>
      </c>
    </row>
    <row r="424" spans="1:16">
      <c r="A424" t="s">
        <v>436</v>
      </c>
      <c r="B424" t="s">
        <v>1021</v>
      </c>
      <c r="C424">
        <v>1172</v>
      </c>
      <c r="D424">
        <v>2</v>
      </c>
      <c r="E424">
        <v>3</v>
      </c>
      <c r="F424">
        <v>5</v>
      </c>
      <c r="G424" t="s">
        <v>1023</v>
      </c>
      <c r="H424" t="s">
        <v>1023</v>
      </c>
      <c r="I424" t="s">
        <v>1023</v>
      </c>
      <c r="J424" t="s">
        <v>1023</v>
      </c>
      <c r="K424" t="s">
        <v>1025</v>
      </c>
      <c r="L424">
        <v>14</v>
      </c>
      <c r="M424">
        <v>23</v>
      </c>
      <c r="N424">
        <v>7000000</v>
      </c>
      <c r="O424">
        <f>PropertyData[[#This Row],[Price]]/PropertyData[[#This Row],[Area_sqft]]</f>
        <v>5972.6962457337886</v>
      </c>
      <c r="P424" t="str">
        <f t="shared" si="6"/>
        <v>Mid-Range</v>
      </c>
    </row>
    <row r="425" spans="1:16">
      <c r="A425" t="s">
        <v>437</v>
      </c>
      <c r="B425" t="s">
        <v>1016</v>
      </c>
      <c r="C425">
        <v>983</v>
      </c>
      <c r="D425">
        <v>2</v>
      </c>
      <c r="E425">
        <v>2</v>
      </c>
      <c r="F425">
        <v>18</v>
      </c>
      <c r="G425" t="s">
        <v>1022</v>
      </c>
      <c r="H425" t="s">
        <v>1022</v>
      </c>
      <c r="I425" t="s">
        <v>1022</v>
      </c>
      <c r="J425" t="s">
        <v>1022</v>
      </c>
      <c r="K425" t="s">
        <v>1025</v>
      </c>
      <c r="L425">
        <v>4</v>
      </c>
      <c r="M425">
        <v>21</v>
      </c>
      <c r="N425">
        <v>4500000</v>
      </c>
      <c r="O425">
        <f>PropertyData[[#This Row],[Price]]/PropertyData[[#This Row],[Area_sqft]]</f>
        <v>4577.8229908443536</v>
      </c>
      <c r="P425" t="str">
        <f t="shared" si="6"/>
        <v>Budget</v>
      </c>
    </row>
    <row r="426" spans="1:16">
      <c r="A426" t="s">
        <v>438</v>
      </c>
      <c r="B426" t="s">
        <v>1017</v>
      </c>
      <c r="C426">
        <v>820</v>
      </c>
      <c r="D426">
        <v>2</v>
      </c>
      <c r="E426">
        <v>2</v>
      </c>
      <c r="F426">
        <v>18</v>
      </c>
      <c r="G426" t="s">
        <v>1022</v>
      </c>
      <c r="H426" t="s">
        <v>1022</v>
      </c>
      <c r="I426" t="s">
        <v>1022</v>
      </c>
      <c r="J426" t="s">
        <v>1022</v>
      </c>
      <c r="K426" t="s">
        <v>1025</v>
      </c>
      <c r="L426">
        <v>11</v>
      </c>
      <c r="M426">
        <v>22</v>
      </c>
      <c r="N426">
        <v>3350000</v>
      </c>
      <c r="O426">
        <f>PropertyData[[#This Row],[Price]]/PropertyData[[#This Row],[Area_sqft]]</f>
        <v>4085.3658536585367</v>
      </c>
      <c r="P426" t="str">
        <f t="shared" si="6"/>
        <v>Budget</v>
      </c>
    </row>
    <row r="427" spans="1:16">
      <c r="A427" t="s">
        <v>439</v>
      </c>
      <c r="B427" t="s">
        <v>1017</v>
      </c>
      <c r="C427">
        <v>1727</v>
      </c>
      <c r="D427">
        <v>4</v>
      </c>
      <c r="E427">
        <v>4</v>
      </c>
      <c r="F427">
        <v>13</v>
      </c>
      <c r="G427" t="s">
        <v>1023</v>
      </c>
      <c r="H427" t="s">
        <v>1023</v>
      </c>
      <c r="I427" t="s">
        <v>1023</v>
      </c>
      <c r="J427" t="s">
        <v>1022</v>
      </c>
      <c r="K427" t="s">
        <v>1024</v>
      </c>
      <c r="L427">
        <v>7</v>
      </c>
      <c r="M427">
        <v>13</v>
      </c>
      <c r="N427">
        <v>5900000</v>
      </c>
      <c r="O427">
        <f>PropertyData[[#This Row],[Price]]/PropertyData[[#This Row],[Area_sqft]]</f>
        <v>3416.3288940359002</v>
      </c>
      <c r="P427" t="str">
        <f t="shared" si="6"/>
        <v>Mid-Range</v>
      </c>
    </row>
    <row r="428" spans="1:16">
      <c r="A428" t="s">
        <v>440</v>
      </c>
      <c r="B428" t="s">
        <v>1020</v>
      </c>
      <c r="C428">
        <v>975</v>
      </c>
      <c r="D428">
        <v>3</v>
      </c>
      <c r="E428">
        <v>4</v>
      </c>
      <c r="F428">
        <v>22</v>
      </c>
      <c r="G428" t="s">
        <v>1022</v>
      </c>
      <c r="H428" t="s">
        <v>1022</v>
      </c>
      <c r="I428" t="s">
        <v>1023</v>
      </c>
      <c r="J428" t="s">
        <v>1022</v>
      </c>
      <c r="K428" t="s">
        <v>1025</v>
      </c>
      <c r="L428">
        <v>19</v>
      </c>
      <c r="M428">
        <v>20</v>
      </c>
      <c r="N428">
        <v>5650000</v>
      </c>
      <c r="O428">
        <f>PropertyData[[#This Row],[Price]]/PropertyData[[#This Row],[Area_sqft]]</f>
        <v>5794.8717948717949</v>
      </c>
      <c r="P428" t="str">
        <f t="shared" si="6"/>
        <v>Mid-Range</v>
      </c>
    </row>
    <row r="429" spans="1:16">
      <c r="A429" t="s">
        <v>441</v>
      </c>
      <c r="B429" t="s">
        <v>1018</v>
      </c>
      <c r="C429">
        <v>1288</v>
      </c>
      <c r="D429">
        <v>3</v>
      </c>
      <c r="E429">
        <v>4</v>
      </c>
      <c r="F429">
        <v>0</v>
      </c>
      <c r="G429" t="s">
        <v>1022</v>
      </c>
      <c r="H429" t="s">
        <v>1022</v>
      </c>
      <c r="I429" t="s">
        <v>1022</v>
      </c>
      <c r="J429" t="s">
        <v>1023</v>
      </c>
      <c r="K429" t="s">
        <v>1026</v>
      </c>
      <c r="L429">
        <v>16</v>
      </c>
      <c r="M429">
        <v>24</v>
      </c>
      <c r="N429">
        <v>8950000</v>
      </c>
      <c r="O429">
        <f>PropertyData[[#This Row],[Price]]/PropertyData[[#This Row],[Area_sqft]]</f>
        <v>6948.7577639751553</v>
      </c>
      <c r="P429" t="str">
        <f t="shared" si="6"/>
        <v>Mid-Range</v>
      </c>
    </row>
    <row r="430" spans="1:16">
      <c r="A430" t="s">
        <v>442</v>
      </c>
      <c r="B430" t="s">
        <v>1016</v>
      </c>
      <c r="C430">
        <v>2361</v>
      </c>
      <c r="D430">
        <v>5</v>
      </c>
      <c r="E430">
        <v>4</v>
      </c>
      <c r="F430">
        <v>17</v>
      </c>
      <c r="G430" t="s">
        <v>1022</v>
      </c>
      <c r="H430" t="s">
        <v>1022</v>
      </c>
      <c r="I430" t="s">
        <v>1023</v>
      </c>
      <c r="J430" t="s">
        <v>1023</v>
      </c>
      <c r="K430" t="s">
        <v>1025</v>
      </c>
      <c r="L430">
        <v>18</v>
      </c>
      <c r="M430">
        <v>23</v>
      </c>
      <c r="N430">
        <v>10150000</v>
      </c>
      <c r="O430">
        <f>PropertyData[[#This Row],[Price]]/PropertyData[[#This Row],[Area_sqft]]</f>
        <v>4299.0258365099535</v>
      </c>
      <c r="P430" t="str">
        <f t="shared" si="6"/>
        <v>Premium</v>
      </c>
    </row>
    <row r="431" spans="1:16">
      <c r="A431" t="s">
        <v>443</v>
      </c>
      <c r="B431" t="s">
        <v>1015</v>
      </c>
      <c r="C431">
        <v>959</v>
      </c>
      <c r="D431">
        <v>2</v>
      </c>
      <c r="E431">
        <v>2</v>
      </c>
      <c r="F431">
        <v>16</v>
      </c>
      <c r="G431" t="s">
        <v>1023</v>
      </c>
      <c r="H431" t="s">
        <v>1023</v>
      </c>
      <c r="I431" t="s">
        <v>1023</v>
      </c>
      <c r="J431" t="s">
        <v>1022</v>
      </c>
      <c r="K431" t="s">
        <v>1025</v>
      </c>
      <c r="L431">
        <v>8</v>
      </c>
      <c r="M431">
        <v>11</v>
      </c>
      <c r="N431">
        <v>2500000</v>
      </c>
      <c r="O431">
        <f>PropertyData[[#This Row],[Price]]/PropertyData[[#This Row],[Area_sqft]]</f>
        <v>2606.8821689259644</v>
      </c>
      <c r="P431" t="str">
        <f t="shared" si="6"/>
        <v>Budget</v>
      </c>
    </row>
    <row r="432" spans="1:16">
      <c r="A432" t="s">
        <v>444</v>
      </c>
      <c r="B432" t="s">
        <v>1019</v>
      </c>
      <c r="C432">
        <v>1233</v>
      </c>
      <c r="D432">
        <v>3</v>
      </c>
      <c r="E432">
        <v>3</v>
      </c>
      <c r="F432">
        <v>15</v>
      </c>
      <c r="G432" t="s">
        <v>1022</v>
      </c>
      <c r="H432" t="s">
        <v>1023</v>
      </c>
      <c r="I432" t="s">
        <v>1022</v>
      </c>
      <c r="J432" t="s">
        <v>1022</v>
      </c>
      <c r="K432" t="s">
        <v>1024</v>
      </c>
      <c r="L432">
        <v>16</v>
      </c>
      <c r="M432">
        <v>20</v>
      </c>
      <c r="N432">
        <v>10050000</v>
      </c>
      <c r="O432">
        <f>PropertyData[[#This Row],[Price]]/PropertyData[[#This Row],[Area_sqft]]</f>
        <v>8150.8515815085157</v>
      </c>
      <c r="P432" t="str">
        <f t="shared" si="6"/>
        <v>Premium</v>
      </c>
    </row>
    <row r="433" spans="1:16">
      <c r="A433" t="s">
        <v>445</v>
      </c>
      <c r="B433" t="s">
        <v>1019</v>
      </c>
      <c r="C433">
        <v>1064</v>
      </c>
      <c r="D433">
        <v>2</v>
      </c>
      <c r="E433">
        <v>3</v>
      </c>
      <c r="F433">
        <v>25</v>
      </c>
      <c r="G433" t="s">
        <v>1022</v>
      </c>
      <c r="H433" t="s">
        <v>1022</v>
      </c>
      <c r="I433" t="s">
        <v>1022</v>
      </c>
      <c r="J433" t="s">
        <v>1023</v>
      </c>
      <c r="K433" t="s">
        <v>1025</v>
      </c>
      <c r="L433">
        <v>13</v>
      </c>
      <c r="M433">
        <v>17</v>
      </c>
      <c r="N433">
        <v>6750000</v>
      </c>
      <c r="O433">
        <f>PropertyData[[#This Row],[Price]]/PropertyData[[#This Row],[Area_sqft]]</f>
        <v>6343.9849624060153</v>
      </c>
      <c r="P433" t="str">
        <f t="shared" si="6"/>
        <v>Mid-Range</v>
      </c>
    </row>
    <row r="434" spans="1:16">
      <c r="A434" t="s">
        <v>446</v>
      </c>
      <c r="B434" t="s">
        <v>1015</v>
      </c>
      <c r="C434">
        <v>725</v>
      </c>
      <c r="D434">
        <v>1</v>
      </c>
      <c r="E434">
        <v>1</v>
      </c>
      <c r="F434">
        <v>22</v>
      </c>
      <c r="G434" t="s">
        <v>1022</v>
      </c>
      <c r="H434" t="s">
        <v>1023</v>
      </c>
      <c r="I434" t="s">
        <v>1023</v>
      </c>
      <c r="J434" t="s">
        <v>1023</v>
      </c>
      <c r="K434" t="s">
        <v>1024</v>
      </c>
      <c r="L434">
        <v>5</v>
      </c>
      <c r="M434">
        <v>15</v>
      </c>
      <c r="N434">
        <v>2500000</v>
      </c>
      <c r="O434">
        <f>PropertyData[[#This Row],[Price]]/PropertyData[[#This Row],[Area_sqft]]</f>
        <v>3448.2758620689656</v>
      </c>
      <c r="P434" t="str">
        <f t="shared" si="6"/>
        <v>Budget</v>
      </c>
    </row>
    <row r="435" spans="1:16">
      <c r="A435" t="s">
        <v>447</v>
      </c>
      <c r="B435" t="s">
        <v>1019</v>
      </c>
      <c r="C435">
        <v>1035</v>
      </c>
      <c r="D435">
        <v>2</v>
      </c>
      <c r="E435">
        <v>2</v>
      </c>
      <c r="F435">
        <v>6</v>
      </c>
      <c r="G435" t="s">
        <v>1023</v>
      </c>
      <c r="H435" t="s">
        <v>1023</v>
      </c>
      <c r="I435" t="s">
        <v>1023</v>
      </c>
      <c r="J435" t="s">
        <v>1022</v>
      </c>
      <c r="K435" t="s">
        <v>1024</v>
      </c>
      <c r="L435">
        <v>6</v>
      </c>
      <c r="M435">
        <v>6</v>
      </c>
      <c r="N435">
        <v>9850000</v>
      </c>
      <c r="O435">
        <f>PropertyData[[#This Row],[Price]]/PropertyData[[#This Row],[Area_sqft]]</f>
        <v>9516.9082125603873</v>
      </c>
      <c r="P435" t="str">
        <f t="shared" si="6"/>
        <v>Mid-Range</v>
      </c>
    </row>
    <row r="436" spans="1:16">
      <c r="A436" t="s">
        <v>448</v>
      </c>
      <c r="B436" t="s">
        <v>1016</v>
      </c>
      <c r="C436">
        <v>1347</v>
      </c>
      <c r="D436">
        <v>3</v>
      </c>
      <c r="E436">
        <v>4</v>
      </c>
      <c r="F436">
        <v>12</v>
      </c>
      <c r="G436" t="s">
        <v>1022</v>
      </c>
      <c r="H436" t="s">
        <v>1023</v>
      </c>
      <c r="I436" t="s">
        <v>1022</v>
      </c>
      <c r="J436" t="s">
        <v>1022</v>
      </c>
      <c r="K436" t="s">
        <v>1025</v>
      </c>
      <c r="L436">
        <v>16</v>
      </c>
      <c r="M436">
        <v>19</v>
      </c>
      <c r="N436">
        <v>6600000</v>
      </c>
      <c r="O436">
        <f>PropertyData[[#This Row],[Price]]/PropertyData[[#This Row],[Area_sqft]]</f>
        <v>4899.7772828507796</v>
      </c>
      <c r="P436" t="str">
        <f t="shared" si="6"/>
        <v>Mid-Range</v>
      </c>
    </row>
    <row r="437" spans="1:16">
      <c r="A437" t="s">
        <v>449</v>
      </c>
      <c r="B437" t="s">
        <v>1018</v>
      </c>
      <c r="C437">
        <v>450</v>
      </c>
      <c r="D437">
        <v>1</v>
      </c>
      <c r="E437">
        <v>1</v>
      </c>
      <c r="F437">
        <v>19</v>
      </c>
      <c r="G437" t="s">
        <v>1022</v>
      </c>
      <c r="H437" t="s">
        <v>1023</v>
      </c>
      <c r="I437" t="s">
        <v>1022</v>
      </c>
      <c r="J437" t="s">
        <v>1023</v>
      </c>
      <c r="K437" t="s">
        <v>1025</v>
      </c>
      <c r="L437">
        <v>13</v>
      </c>
      <c r="M437">
        <v>19</v>
      </c>
      <c r="N437">
        <v>2200000</v>
      </c>
      <c r="O437">
        <f>PropertyData[[#This Row],[Price]]/PropertyData[[#This Row],[Area_sqft]]</f>
        <v>4888.8888888888887</v>
      </c>
      <c r="P437" t="str">
        <f t="shared" si="6"/>
        <v>Budget</v>
      </c>
    </row>
    <row r="438" spans="1:16">
      <c r="A438" t="s">
        <v>450</v>
      </c>
      <c r="B438" t="s">
        <v>1019</v>
      </c>
      <c r="C438">
        <v>1729</v>
      </c>
      <c r="D438">
        <v>4</v>
      </c>
      <c r="E438">
        <v>4</v>
      </c>
      <c r="F438">
        <v>0</v>
      </c>
      <c r="G438" t="s">
        <v>1022</v>
      </c>
      <c r="H438" t="s">
        <v>1023</v>
      </c>
      <c r="I438" t="s">
        <v>1023</v>
      </c>
      <c r="J438" t="s">
        <v>1023</v>
      </c>
      <c r="K438" t="s">
        <v>1025</v>
      </c>
      <c r="L438">
        <v>11</v>
      </c>
      <c r="M438">
        <v>19</v>
      </c>
      <c r="N438">
        <v>14500000</v>
      </c>
      <c r="O438">
        <f>PropertyData[[#This Row],[Price]]/PropertyData[[#This Row],[Area_sqft]]</f>
        <v>8386.3504916136499</v>
      </c>
      <c r="P438" t="str">
        <f t="shared" si="6"/>
        <v>Premium</v>
      </c>
    </row>
    <row r="439" spans="1:16">
      <c r="A439" t="s">
        <v>451</v>
      </c>
      <c r="B439" t="s">
        <v>1014</v>
      </c>
      <c r="C439">
        <v>666</v>
      </c>
      <c r="D439">
        <v>1</v>
      </c>
      <c r="E439">
        <v>1</v>
      </c>
      <c r="F439">
        <v>21</v>
      </c>
      <c r="G439" t="s">
        <v>1023</v>
      </c>
      <c r="H439" t="s">
        <v>1023</v>
      </c>
      <c r="I439" t="s">
        <v>1023</v>
      </c>
      <c r="J439" t="s">
        <v>1023</v>
      </c>
      <c r="K439" t="s">
        <v>1024</v>
      </c>
      <c r="L439">
        <v>12</v>
      </c>
      <c r="M439">
        <v>13</v>
      </c>
      <c r="N439">
        <v>4100000</v>
      </c>
      <c r="O439">
        <f>PropertyData[[#This Row],[Price]]/PropertyData[[#This Row],[Area_sqft]]</f>
        <v>6156.1561561561557</v>
      </c>
      <c r="P439" t="str">
        <f t="shared" si="6"/>
        <v>Budget</v>
      </c>
    </row>
    <row r="440" spans="1:16">
      <c r="A440" t="s">
        <v>452</v>
      </c>
      <c r="B440" t="s">
        <v>1016</v>
      </c>
      <c r="C440">
        <v>1228</v>
      </c>
      <c r="D440">
        <v>3</v>
      </c>
      <c r="E440">
        <v>4</v>
      </c>
      <c r="F440">
        <v>8</v>
      </c>
      <c r="G440" t="s">
        <v>1022</v>
      </c>
      <c r="H440" t="s">
        <v>1022</v>
      </c>
      <c r="I440" t="s">
        <v>1022</v>
      </c>
      <c r="J440" t="s">
        <v>1022</v>
      </c>
      <c r="K440" t="s">
        <v>1024</v>
      </c>
      <c r="L440">
        <v>10</v>
      </c>
      <c r="M440">
        <v>21</v>
      </c>
      <c r="N440">
        <v>6650000</v>
      </c>
      <c r="O440">
        <f>PropertyData[[#This Row],[Price]]/PropertyData[[#This Row],[Area_sqft]]</f>
        <v>5415.3094462540721</v>
      </c>
      <c r="P440" t="str">
        <f t="shared" si="6"/>
        <v>Mid-Range</v>
      </c>
    </row>
    <row r="441" spans="1:16">
      <c r="A441" t="s">
        <v>453</v>
      </c>
      <c r="B441" t="s">
        <v>1016</v>
      </c>
      <c r="C441">
        <v>1390</v>
      </c>
      <c r="D441">
        <v>3</v>
      </c>
      <c r="E441">
        <v>3</v>
      </c>
      <c r="F441">
        <v>21</v>
      </c>
      <c r="G441" t="s">
        <v>1022</v>
      </c>
      <c r="H441" t="s">
        <v>1023</v>
      </c>
      <c r="I441" t="s">
        <v>1023</v>
      </c>
      <c r="J441" t="s">
        <v>1022</v>
      </c>
      <c r="K441" t="s">
        <v>1025</v>
      </c>
      <c r="L441">
        <v>17</v>
      </c>
      <c r="M441">
        <v>19</v>
      </c>
      <c r="N441">
        <v>6150000</v>
      </c>
      <c r="O441">
        <f>PropertyData[[#This Row],[Price]]/PropertyData[[#This Row],[Area_sqft]]</f>
        <v>4424.4604316546765</v>
      </c>
      <c r="P441" t="str">
        <f t="shared" si="6"/>
        <v>Mid-Range</v>
      </c>
    </row>
    <row r="442" spans="1:16">
      <c r="A442" t="s">
        <v>454</v>
      </c>
      <c r="B442" t="s">
        <v>1020</v>
      </c>
      <c r="C442">
        <v>1242</v>
      </c>
      <c r="D442">
        <v>2</v>
      </c>
      <c r="E442">
        <v>1</v>
      </c>
      <c r="F442">
        <v>30</v>
      </c>
      <c r="G442" t="s">
        <v>1022</v>
      </c>
      <c r="H442" t="s">
        <v>1023</v>
      </c>
      <c r="I442" t="s">
        <v>1023</v>
      </c>
      <c r="J442" t="s">
        <v>1022</v>
      </c>
      <c r="K442" t="s">
        <v>1025</v>
      </c>
      <c r="L442">
        <v>17</v>
      </c>
      <c r="M442">
        <v>20</v>
      </c>
      <c r="N442">
        <v>7200000</v>
      </c>
      <c r="O442">
        <f>PropertyData[[#This Row],[Price]]/PropertyData[[#This Row],[Area_sqft]]</f>
        <v>5797.101449275362</v>
      </c>
      <c r="P442" t="str">
        <f t="shared" si="6"/>
        <v>Mid-Range</v>
      </c>
    </row>
    <row r="443" spans="1:16">
      <c r="A443" t="s">
        <v>455</v>
      </c>
      <c r="B443" t="s">
        <v>1019</v>
      </c>
      <c r="C443">
        <v>1076</v>
      </c>
      <c r="D443">
        <v>3</v>
      </c>
      <c r="E443">
        <v>3</v>
      </c>
      <c r="F443">
        <v>11</v>
      </c>
      <c r="G443" t="s">
        <v>1022</v>
      </c>
      <c r="H443" t="s">
        <v>1023</v>
      </c>
      <c r="I443" t="s">
        <v>1023</v>
      </c>
      <c r="J443" t="s">
        <v>1023</v>
      </c>
      <c r="K443" t="s">
        <v>1025</v>
      </c>
      <c r="L443">
        <v>18</v>
      </c>
      <c r="M443">
        <v>24</v>
      </c>
      <c r="N443">
        <v>6400000</v>
      </c>
      <c r="O443">
        <f>PropertyData[[#This Row],[Price]]/PropertyData[[#This Row],[Area_sqft]]</f>
        <v>5947.9553903345723</v>
      </c>
      <c r="P443" t="str">
        <f t="shared" si="6"/>
        <v>Mid-Range</v>
      </c>
    </row>
    <row r="444" spans="1:16">
      <c r="A444" t="s">
        <v>456</v>
      </c>
      <c r="B444" t="s">
        <v>1016</v>
      </c>
      <c r="C444">
        <v>1305</v>
      </c>
      <c r="D444">
        <v>3</v>
      </c>
      <c r="E444">
        <v>3</v>
      </c>
      <c r="F444">
        <v>22</v>
      </c>
      <c r="G444" t="s">
        <v>1022</v>
      </c>
      <c r="H444" t="s">
        <v>1022</v>
      </c>
      <c r="I444" t="s">
        <v>1023</v>
      </c>
      <c r="J444" t="s">
        <v>1022</v>
      </c>
      <c r="K444" t="s">
        <v>1025</v>
      </c>
      <c r="L444">
        <v>15</v>
      </c>
      <c r="M444">
        <v>15</v>
      </c>
      <c r="N444">
        <v>5750000</v>
      </c>
      <c r="O444">
        <f>PropertyData[[#This Row],[Price]]/PropertyData[[#This Row],[Area_sqft]]</f>
        <v>4406.1302681992338</v>
      </c>
      <c r="P444" t="str">
        <f t="shared" si="6"/>
        <v>Mid-Range</v>
      </c>
    </row>
    <row r="445" spans="1:16">
      <c r="A445" t="s">
        <v>457</v>
      </c>
      <c r="B445" t="s">
        <v>1019</v>
      </c>
      <c r="C445">
        <v>1296</v>
      </c>
      <c r="D445">
        <v>3</v>
      </c>
      <c r="E445">
        <v>4</v>
      </c>
      <c r="F445">
        <v>3</v>
      </c>
      <c r="G445" t="s">
        <v>1022</v>
      </c>
      <c r="H445" t="s">
        <v>1023</v>
      </c>
      <c r="I445" t="s">
        <v>1022</v>
      </c>
      <c r="J445" t="s">
        <v>1022</v>
      </c>
      <c r="K445" t="s">
        <v>1024</v>
      </c>
      <c r="L445">
        <v>4</v>
      </c>
      <c r="M445">
        <v>5</v>
      </c>
      <c r="N445">
        <v>12300000</v>
      </c>
      <c r="O445">
        <f>PropertyData[[#This Row],[Price]]/PropertyData[[#This Row],[Area_sqft]]</f>
        <v>9490.7407407407409</v>
      </c>
      <c r="P445" t="str">
        <f t="shared" si="6"/>
        <v>Premium</v>
      </c>
    </row>
    <row r="446" spans="1:16">
      <c r="A446" t="s">
        <v>458</v>
      </c>
      <c r="B446" t="s">
        <v>1019</v>
      </c>
      <c r="C446">
        <v>2080</v>
      </c>
      <c r="D446">
        <v>5</v>
      </c>
      <c r="E446">
        <v>5</v>
      </c>
      <c r="F446">
        <v>25</v>
      </c>
      <c r="G446" t="s">
        <v>1022</v>
      </c>
      <c r="H446" t="s">
        <v>1023</v>
      </c>
      <c r="I446" t="s">
        <v>1023</v>
      </c>
      <c r="J446" t="s">
        <v>1022</v>
      </c>
      <c r="K446" t="s">
        <v>1025</v>
      </c>
      <c r="L446">
        <v>8</v>
      </c>
      <c r="M446">
        <v>8</v>
      </c>
      <c r="N446">
        <v>13800000</v>
      </c>
      <c r="O446">
        <f>PropertyData[[#This Row],[Price]]/PropertyData[[#This Row],[Area_sqft]]</f>
        <v>6634.6153846153848</v>
      </c>
      <c r="P446" t="str">
        <f t="shared" si="6"/>
        <v>Premium</v>
      </c>
    </row>
    <row r="447" spans="1:16">
      <c r="A447" t="s">
        <v>459</v>
      </c>
      <c r="B447" t="s">
        <v>1016</v>
      </c>
      <c r="C447">
        <v>1471</v>
      </c>
      <c r="D447">
        <v>3</v>
      </c>
      <c r="E447">
        <v>4</v>
      </c>
      <c r="F447">
        <v>10</v>
      </c>
      <c r="G447" t="s">
        <v>1022</v>
      </c>
      <c r="H447" t="s">
        <v>1023</v>
      </c>
      <c r="I447" t="s">
        <v>1022</v>
      </c>
      <c r="J447" t="s">
        <v>1022</v>
      </c>
      <c r="K447" t="s">
        <v>1026</v>
      </c>
      <c r="L447">
        <v>1</v>
      </c>
      <c r="M447">
        <v>12</v>
      </c>
      <c r="N447">
        <v>9650000</v>
      </c>
      <c r="O447">
        <f>PropertyData[[#This Row],[Price]]/PropertyData[[#This Row],[Area_sqft]]</f>
        <v>6560.1631543167914</v>
      </c>
      <c r="P447" t="str">
        <f t="shared" si="6"/>
        <v>Mid-Range</v>
      </c>
    </row>
    <row r="448" spans="1:16">
      <c r="A448" t="s">
        <v>460</v>
      </c>
      <c r="B448" t="s">
        <v>1020</v>
      </c>
      <c r="C448">
        <v>994</v>
      </c>
      <c r="D448">
        <v>2</v>
      </c>
      <c r="E448">
        <v>1</v>
      </c>
      <c r="F448">
        <v>20</v>
      </c>
      <c r="G448" t="s">
        <v>1023</v>
      </c>
      <c r="H448" t="s">
        <v>1022</v>
      </c>
      <c r="I448" t="s">
        <v>1023</v>
      </c>
      <c r="J448" t="s">
        <v>1022</v>
      </c>
      <c r="K448" t="s">
        <v>1026</v>
      </c>
      <c r="L448">
        <v>6</v>
      </c>
      <c r="M448">
        <v>10</v>
      </c>
      <c r="N448">
        <v>8300000</v>
      </c>
      <c r="O448">
        <f>PropertyData[[#This Row],[Price]]/PropertyData[[#This Row],[Area_sqft]]</f>
        <v>8350.1006036217295</v>
      </c>
      <c r="P448" t="str">
        <f t="shared" si="6"/>
        <v>Mid-Range</v>
      </c>
    </row>
    <row r="449" spans="1:16">
      <c r="A449" t="s">
        <v>461</v>
      </c>
      <c r="B449" t="s">
        <v>1018</v>
      </c>
      <c r="C449">
        <v>928</v>
      </c>
      <c r="D449">
        <v>2</v>
      </c>
      <c r="E449">
        <v>1</v>
      </c>
      <c r="F449">
        <v>0</v>
      </c>
      <c r="G449" t="s">
        <v>1022</v>
      </c>
      <c r="H449" t="s">
        <v>1023</v>
      </c>
      <c r="I449" t="s">
        <v>1023</v>
      </c>
      <c r="J449" t="s">
        <v>1022</v>
      </c>
      <c r="K449" t="s">
        <v>1025</v>
      </c>
      <c r="L449">
        <v>13</v>
      </c>
      <c r="M449">
        <v>18</v>
      </c>
      <c r="N449">
        <v>4400000</v>
      </c>
      <c r="O449">
        <f>PropertyData[[#This Row],[Price]]/PropertyData[[#This Row],[Area_sqft]]</f>
        <v>4741.3793103448279</v>
      </c>
      <c r="P449" t="str">
        <f t="shared" si="6"/>
        <v>Budget</v>
      </c>
    </row>
    <row r="450" spans="1:16">
      <c r="A450" t="s">
        <v>462</v>
      </c>
      <c r="B450" t="s">
        <v>1017</v>
      </c>
      <c r="C450">
        <v>1035</v>
      </c>
      <c r="D450">
        <v>2</v>
      </c>
      <c r="E450">
        <v>3</v>
      </c>
      <c r="F450">
        <v>15</v>
      </c>
      <c r="G450" t="s">
        <v>1023</v>
      </c>
      <c r="H450" t="s">
        <v>1022</v>
      </c>
      <c r="I450" t="s">
        <v>1023</v>
      </c>
      <c r="J450" t="s">
        <v>1023</v>
      </c>
      <c r="K450" t="s">
        <v>1025</v>
      </c>
      <c r="L450">
        <v>17</v>
      </c>
      <c r="M450">
        <v>21</v>
      </c>
      <c r="N450">
        <v>3750000</v>
      </c>
      <c r="O450">
        <f>PropertyData[[#This Row],[Price]]/PropertyData[[#This Row],[Area_sqft]]</f>
        <v>3623.1884057971015</v>
      </c>
      <c r="P450" t="str">
        <f t="shared" ref="P450:P513" si="7">IF(N450&lt;5000000,"Budget",IF(N450&lt;=10000000,"Mid-Range","Premium"))</f>
        <v>Budget</v>
      </c>
    </row>
    <row r="451" spans="1:16">
      <c r="A451" t="s">
        <v>463</v>
      </c>
      <c r="B451" t="s">
        <v>1019</v>
      </c>
      <c r="C451">
        <v>1358</v>
      </c>
      <c r="D451">
        <v>3</v>
      </c>
      <c r="E451">
        <v>3</v>
      </c>
      <c r="F451">
        <v>16</v>
      </c>
      <c r="G451" t="s">
        <v>1022</v>
      </c>
      <c r="H451" t="s">
        <v>1022</v>
      </c>
      <c r="I451" t="s">
        <v>1023</v>
      </c>
      <c r="J451" t="s">
        <v>1022</v>
      </c>
      <c r="K451" t="s">
        <v>1026</v>
      </c>
      <c r="L451">
        <v>5</v>
      </c>
      <c r="M451">
        <v>11</v>
      </c>
      <c r="N451">
        <v>14550000</v>
      </c>
      <c r="O451">
        <f>PropertyData[[#This Row],[Price]]/PropertyData[[#This Row],[Area_sqft]]</f>
        <v>10714.285714285714</v>
      </c>
      <c r="P451" t="str">
        <f t="shared" si="7"/>
        <v>Premium</v>
      </c>
    </row>
    <row r="452" spans="1:16">
      <c r="A452" t="s">
        <v>464</v>
      </c>
      <c r="B452" t="s">
        <v>1019</v>
      </c>
      <c r="C452">
        <v>1336</v>
      </c>
      <c r="D452">
        <v>3</v>
      </c>
      <c r="E452">
        <v>2</v>
      </c>
      <c r="F452">
        <v>23</v>
      </c>
      <c r="G452" t="s">
        <v>1022</v>
      </c>
      <c r="H452" t="s">
        <v>1022</v>
      </c>
      <c r="I452" t="s">
        <v>1023</v>
      </c>
      <c r="J452" t="s">
        <v>1022</v>
      </c>
      <c r="K452" t="s">
        <v>1025</v>
      </c>
      <c r="L452">
        <v>17</v>
      </c>
      <c r="M452">
        <v>22</v>
      </c>
      <c r="N452">
        <v>9350000</v>
      </c>
      <c r="O452">
        <f>PropertyData[[#This Row],[Price]]/PropertyData[[#This Row],[Area_sqft]]</f>
        <v>6998.5029940119757</v>
      </c>
      <c r="P452" t="str">
        <f t="shared" si="7"/>
        <v>Mid-Range</v>
      </c>
    </row>
    <row r="453" spans="1:16">
      <c r="A453" t="s">
        <v>465</v>
      </c>
      <c r="B453" t="s">
        <v>1018</v>
      </c>
      <c r="C453">
        <v>646</v>
      </c>
      <c r="D453">
        <v>1</v>
      </c>
      <c r="E453">
        <v>1</v>
      </c>
      <c r="F453">
        <v>14</v>
      </c>
      <c r="G453" t="s">
        <v>1022</v>
      </c>
      <c r="H453" t="s">
        <v>1022</v>
      </c>
      <c r="I453" t="s">
        <v>1023</v>
      </c>
      <c r="J453" t="s">
        <v>1022</v>
      </c>
      <c r="K453" t="s">
        <v>1024</v>
      </c>
      <c r="L453">
        <v>13</v>
      </c>
      <c r="M453">
        <v>24</v>
      </c>
      <c r="N453">
        <v>3100000</v>
      </c>
      <c r="O453">
        <f>PropertyData[[#This Row],[Price]]/PropertyData[[#This Row],[Area_sqft]]</f>
        <v>4798.7616099071211</v>
      </c>
      <c r="P453" t="str">
        <f t="shared" si="7"/>
        <v>Budget</v>
      </c>
    </row>
    <row r="454" spans="1:16">
      <c r="A454" t="s">
        <v>466</v>
      </c>
      <c r="B454" t="s">
        <v>1016</v>
      </c>
      <c r="C454">
        <v>949</v>
      </c>
      <c r="D454">
        <v>2</v>
      </c>
      <c r="E454">
        <v>1</v>
      </c>
      <c r="F454">
        <v>29</v>
      </c>
      <c r="G454" t="s">
        <v>1022</v>
      </c>
      <c r="H454" t="s">
        <v>1022</v>
      </c>
      <c r="I454" t="s">
        <v>1023</v>
      </c>
      <c r="J454" t="s">
        <v>1022</v>
      </c>
      <c r="K454" t="s">
        <v>1025</v>
      </c>
      <c r="L454">
        <v>18</v>
      </c>
      <c r="M454">
        <v>20</v>
      </c>
      <c r="N454">
        <v>3650000</v>
      </c>
      <c r="O454">
        <f>PropertyData[[#This Row],[Price]]/PropertyData[[#This Row],[Area_sqft]]</f>
        <v>3846.1538461538462</v>
      </c>
      <c r="P454" t="str">
        <f t="shared" si="7"/>
        <v>Budget</v>
      </c>
    </row>
    <row r="455" spans="1:16">
      <c r="A455" t="s">
        <v>467</v>
      </c>
      <c r="B455" t="s">
        <v>1014</v>
      </c>
      <c r="C455">
        <v>913</v>
      </c>
      <c r="D455">
        <v>2</v>
      </c>
      <c r="E455">
        <v>2</v>
      </c>
      <c r="F455">
        <v>5</v>
      </c>
      <c r="G455" t="s">
        <v>1022</v>
      </c>
      <c r="H455" t="s">
        <v>1023</v>
      </c>
      <c r="I455" t="s">
        <v>1023</v>
      </c>
      <c r="J455" t="s">
        <v>1022</v>
      </c>
      <c r="K455" t="s">
        <v>1024</v>
      </c>
      <c r="L455">
        <v>19</v>
      </c>
      <c r="M455">
        <v>21</v>
      </c>
      <c r="N455">
        <v>7150000</v>
      </c>
      <c r="O455">
        <f>PropertyData[[#This Row],[Price]]/PropertyData[[#This Row],[Area_sqft]]</f>
        <v>7831.325301204819</v>
      </c>
      <c r="P455" t="str">
        <f t="shared" si="7"/>
        <v>Mid-Range</v>
      </c>
    </row>
    <row r="456" spans="1:16">
      <c r="A456" t="s">
        <v>468</v>
      </c>
      <c r="B456" t="s">
        <v>1019</v>
      </c>
      <c r="C456">
        <v>962</v>
      </c>
      <c r="D456">
        <v>2</v>
      </c>
      <c r="E456">
        <v>2</v>
      </c>
      <c r="F456">
        <v>27</v>
      </c>
      <c r="G456" t="s">
        <v>1022</v>
      </c>
      <c r="H456" t="s">
        <v>1022</v>
      </c>
      <c r="I456" t="s">
        <v>1023</v>
      </c>
      <c r="J456" t="s">
        <v>1022</v>
      </c>
      <c r="K456" t="s">
        <v>1025</v>
      </c>
      <c r="L456">
        <v>20</v>
      </c>
      <c r="M456">
        <v>24</v>
      </c>
      <c r="N456">
        <v>7050000</v>
      </c>
      <c r="O456">
        <f>PropertyData[[#This Row],[Price]]/PropertyData[[#This Row],[Area_sqft]]</f>
        <v>7328.4823284823287</v>
      </c>
      <c r="P456" t="str">
        <f t="shared" si="7"/>
        <v>Mid-Range</v>
      </c>
    </row>
    <row r="457" spans="1:16">
      <c r="A457" t="s">
        <v>469</v>
      </c>
      <c r="B457" t="s">
        <v>1015</v>
      </c>
      <c r="C457">
        <v>1505</v>
      </c>
      <c r="D457">
        <v>4</v>
      </c>
      <c r="E457">
        <v>3</v>
      </c>
      <c r="F457">
        <v>11</v>
      </c>
      <c r="G457" t="s">
        <v>1023</v>
      </c>
      <c r="H457" t="s">
        <v>1023</v>
      </c>
      <c r="I457" t="s">
        <v>1022</v>
      </c>
      <c r="J457" t="s">
        <v>1022</v>
      </c>
      <c r="K457" t="s">
        <v>1025</v>
      </c>
      <c r="L457">
        <v>7</v>
      </c>
      <c r="M457">
        <v>24</v>
      </c>
      <c r="N457">
        <v>4750000</v>
      </c>
      <c r="O457">
        <f>PropertyData[[#This Row],[Price]]/PropertyData[[#This Row],[Area_sqft]]</f>
        <v>3156.1461794019933</v>
      </c>
      <c r="P457" t="str">
        <f t="shared" si="7"/>
        <v>Budget</v>
      </c>
    </row>
    <row r="458" spans="1:16">
      <c r="A458" t="s">
        <v>470</v>
      </c>
      <c r="B458" t="s">
        <v>1019</v>
      </c>
      <c r="C458">
        <v>1269</v>
      </c>
      <c r="D458">
        <v>3</v>
      </c>
      <c r="E458">
        <v>3</v>
      </c>
      <c r="F458">
        <v>8</v>
      </c>
      <c r="G458" t="s">
        <v>1022</v>
      </c>
      <c r="H458" t="s">
        <v>1023</v>
      </c>
      <c r="I458" t="s">
        <v>1022</v>
      </c>
      <c r="J458" t="s">
        <v>1022</v>
      </c>
      <c r="K458" t="s">
        <v>1025</v>
      </c>
      <c r="L458">
        <v>6</v>
      </c>
      <c r="M458">
        <v>23</v>
      </c>
      <c r="N458">
        <v>11650000</v>
      </c>
      <c r="O458">
        <f>PropertyData[[#This Row],[Price]]/PropertyData[[#This Row],[Area_sqft]]</f>
        <v>9180.4570527974774</v>
      </c>
      <c r="P458" t="str">
        <f t="shared" si="7"/>
        <v>Premium</v>
      </c>
    </row>
    <row r="459" spans="1:16">
      <c r="A459" t="s">
        <v>471</v>
      </c>
      <c r="B459" t="s">
        <v>1015</v>
      </c>
      <c r="C459">
        <v>1024</v>
      </c>
      <c r="D459">
        <v>2</v>
      </c>
      <c r="E459">
        <v>2</v>
      </c>
      <c r="F459">
        <v>2</v>
      </c>
      <c r="G459" t="s">
        <v>1023</v>
      </c>
      <c r="H459" t="s">
        <v>1023</v>
      </c>
      <c r="I459" t="s">
        <v>1022</v>
      </c>
      <c r="J459" t="s">
        <v>1022</v>
      </c>
      <c r="K459" t="s">
        <v>1026</v>
      </c>
      <c r="L459">
        <v>16</v>
      </c>
      <c r="M459">
        <v>16</v>
      </c>
      <c r="N459">
        <v>5650000</v>
      </c>
      <c r="O459">
        <f>PropertyData[[#This Row],[Price]]/PropertyData[[#This Row],[Area_sqft]]</f>
        <v>5517.578125</v>
      </c>
      <c r="P459" t="str">
        <f t="shared" si="7"/>
        <v>Mid-Range</v>
      </c>
    </row>
    <row r="460" spans="1:16">
      <c r="A460" t="s">
        <v>472</v>
      </c>
      <c r="B460" t="s">
        <v>1014</v>
      </c>
      <c r="C460">
        <v>1572</v>
      </c>
      <c r="D460">
        <v>4</v>
      </c>
      <c r="E460">
        <v>4</v>
      </c>
      <c r="F460">
        <v>5</v>
      </c>
      <c r="G460" t="s">
        <v>1023</v>
      </c>
      <c r="H460" t="s">
        <v>1023</v>
      </c>
      <c r="I460" t="s">
        <v>1022</v>
      </c>
      <c r="J460" t="s">
        <v>1022</v>
      </c>
      <c r="K460" t="s">
        <v>1025</v>
      </c>
      <c r="L460">
        <v>6</v>
      </c>
      <c r="M460">
        <v>9</v>
      </c>
      <c r="N460">
        <v>10750000</v>
      </c>
      <c r="O460">
        <f>PropertyData[[#This Row],[Price]]/PropertyData[[#This Row],[Area_sqft]]</f>
        <v>6838.4223918575062</v>
      </c>
      <c r="P460" t="str">
        <f t="shared" si="7"/>
        <v>Premium</v>
      </c>
    </row>
    <row r="461" spans="1:16">
      <c r="A461" t="s">
        <v>473</v>
      </c>
      <c r="B461" t="s">
        <v>1018</v>
      </c>
      <c r="C461">
        <v>1545</v>
      </c>
      <c r="D461">
        <v>3</v>
      </c>
      <c r="E461">
        <v>2</v>
      </c>
      <c r="F461">
        <v>2</v>
      </c>
      <c r="G461" t="s">
        <v>1022</v>
      </c>
      <c r="H461" t="s">
        <v>1022</v>
      </c>
      <c r="I461" t="s">
        <v>1023</v>
      </c>
      <c r="J461" t="s">
        <v>1023</v>
      </c>
      <c r="K461" t="s">
        <v>1026</v>
      </c>
      <c r="L461">
        <v>14</v>
      </c>
      <c r="M461">
        <v>24</v>
      </c>
      <c r="N461">
        <v>10500000</v>
      </c>
      <c r="O461">
        <f>PropertyData[[#This Row],[Price]]/PropertyData[[#This Row],[Area_sqft]]</f>
        <v>6796.1165048543689</v>
      </c>
      <c r="P461" t="str">
        <f t="shared" si="7"/>
        <v>Premium</v>
      </c>
    </row>
    <row r="462" spans="1:16">
      <c r="A462" t="s">
        <v>474</v>
      </c>
      <c r="B462" t="s">
        <v>1015</v>
      </c>
      <c r="C462">
        <v>924</v>
      </c>
      <c r="D462">
        <v>2</v>
      </c>
      <c r="E462">
        <v>2</v>
      </c>
      <c r="F462">
        <v>27</v>
      </c>
      <c r="G462" t="s">
        <v>1022</v>
      </c>
      <c r="H462" t="s">
        <v>1023</v>
      </c>
      <c r="I462" t="s">
        <v>1023</v>
      </c>
      <c r="J462" t="s">
        <v>1023</v>
      </c>
      <c r="K462" t="s">
        <v>1024</v>
      </c>
      <c r="L462">
        <v>3</v>
      </c>
      <c r="M462">
        <v>14</v>
      </c>
      <c r="N462">
        <v>2950000</v>
      </c>
      <c r="O462">
        <f>PropertyData[[#This Row],[Price]]/PropertyData[[#This Row],[Area_sqft]]</f>
        <v>3192.6406926406926</v>
      </c>
      <c r="P462" t="str">
        <f t="shared" si="7"/>
        <v>Budget</v>
      </c>
    </row>
    <row r="463" spans="1:16">
      <c r="A463" t="s">
        <v>475</v>
      </c>
      <c r="B463" t="s">
        <v>1018</v>
      </c>
      <c r="C463">
        <v>1872</v>
      </c>
      <c r="D463">
        <v>4</v>
      </c>
      <c r="E463">
        <v>5</v>
      </c>
      <c r="F463">
        <v>11</v>
      </c>
      <c r="G463" t="s">
        <v>1022</v>
      </c>
      <c r="H463" t="s">
        <v>1022</v>
      </c>
      <c r="I463" t="s">
        <v>1023</v>
      </c>
      <c r="J463" t="s">
        <v>1022</v>
      </c>
      <c r="K463" t="s">
        <v>1026</v>
      </c>
      <c r="L463">
        <v>13</v>
      </c>
      <c r="M463">
        <v>15</v>
      </c>
      <c r="N463">
        <v>11900000</v>
      </c>
      <c r="O463">
        <f>PropertyData[[#This Row],[Price]]/PropertyData[[#This Row],[Area_sqft]]</f>
        <v>6356.8376068376065</v>
      </c>
      <c r="P463" t="str">
        <f t="shared" si="7"/>
        <v>Premium</v>
      </c>
    </row>
    <row r="464" spans="1:16">
      <c r="A464" t="s">
        <v>476</v>
      </c>
      <c r="B464" t="s">
        <v>1021</v>
      </c>
      <c r="C464">
        <v>1700</v>
      </c>
      <c r="D464">
        <v>3</v>
      </c>
      <c r="E464">
        <v>4</v>
      </c>
      <c r="F464">
        <v>1</v>
      </c>
      <c r="G464" t="s">
        <v>1022</v>
      </c>
      <c r="H464" t="s">
        <v>1022</v>
      </c>
      <c r="I464" t="s">
        <v>1023</v>
      </c>
      <c r="J464" t="s">
        <v>1022</v>
      </c>
      <c r="K464" t="s">
        <v>1025</v>
      </c>
      <c r="L464">
        <v>6</v>
      </c>
      <c r="M464">
        <v>14</v>
      </c>
      <c r="N464">
        <v>12250000</v>
      </c>
      <c r="O464">
        <f>PropertyData[[#This Row],[Price]]/PropertyData[[#This Row],[Area_sqft]]</f>
        <v>7205.8823529411766</v>
      </c>
      <c r="P464" t="str">
        <f t="shared" si="7"/>
        <v>Premium</v>
      </c>
    </row>
    <row r="465" spans="1:16">
      <c r="A465" t="s">
        <v>477</v>
      </c>
      <c r="B465" t="s">
        <v>1014</v>
      </c>
      <c r="C465">
        <v>1399</v>
      </c>
      <c r="D465">
        <v>2</v>
      </c>
      <c r="E465">
        <v>2</v>
      </c>
      <c r="F465">
        <v>6</v>
      </c>
      <c r="G465" t="s">
        <v>1023</v>
      </c>
      <c r="H465" t="s">
        <v>1023</v>
      </c>
      <c r="I465" t="s">
        <v>1023</v>
      </c>
      <c r="J465" t="s">
        <v>1022</v>
      </c>
      <c r="K465" t="s">
        <v>1025</v>
      </c>
      <c r="L465">
        <v>6</v>
      </c>
      <c r="M465">
        <v>11</v>
      </c>
      <c r="N465">
        <v>8050000</v>
      </c>
      <c r="O465">
        <f>PropertyData[[#This Row],[Price]]/PropertyData[[#This Row],[Area_sqft]]</f>
        <v>5754.1100786275911</v>
      </c>
      <c r="P465" t="str">
        <f t="shared" si="7"/>
        <v>Mid-Range</v>
      </c>
    </row>
    <row r="466" spans="1:16">
      <c r="A466" t="s">
        <v>478</v>
      </c>
      <c r="B466" t="s">
        <v>1019</v>
      </c>
      <c r="C466">
        <v>1349</v>
      </c>
      <c r="D466">
        <v>3</v>
      </c>
      <c r="E466">
        <v>3</v>
      </c>
      <c r="F466">
        <v>16</v>
      </c>
      <c r="G466" t="s">
        <v>1022</v>
      </c>
      <c r="H466" t="s">
        <v>1022</v>
      </c>
      <c r="I466" t="s">
        <v>1023</v>
      </c>
      <c r="J466" t="s">
        <v>1022</v>
      </c>
      <c r="K466" t="s">
        <v>1026</v>
      </c>
      <c r="L466">
        <v>6</v>
      </c>
      <c r="M466">
        <v>10</v>
      </c>
      <c r="N466">
        <v>13200000</v>
      </c>
      <c r="O466">
        <f>PropertyData[[#This Row],[Price]]/PropertyData[[#This Row],[Area_sqft]]</f>
        <v>9785.0259451445509</v>
      </c>
      <c r="P466" t="str">
        <f t="shared" si="7"/>
        <v>Premium</v>
      </c>
    </row>
    <row r="467" spans="1:16">
      <c r="A467" t="s">
        <v>479</v>
      </c>
      <c r="B467" t="s">
        <v>1015</v>
      </c>
      <c r="C467">
        <v>999</v>
      </c>
      <c r="D467">
        <v>2</v>
      </c>
      <c r="E467">
        <v>2</v>
      </c>
      <c r="F467">
        <v>5</v>
      </c>
      <c r="G467" t="s">
        <v>1022</v>
      </c>
      <c r="H467" t="s">
        <v>1023</v>
      </c>
      <c r="I467" t="s">
        <v>1023</v>
      </c>
      <c r="J467" t="s">
        <v>1022</v>
      </c>
      <c r="K467" t="s">
        <v>1025</v>
      </c>
      <c r="L467">
        <v>5</v>
      </c>
      <c r="M467">
        <v>11</v>
      </c>
      <c r="N467">
        <v>3400000</v>
      </c>
      <c r="O467">
        <f>PropertyData[[#This Row],[Price]]/PropertyData[[#This Row],[Area_sqft]]</f>
        <v>3403.4034034034034</v>
      </c>
      <c r="P467" t="str">
        <f t="shared" si="7"/>
        <v>Budget</v>
      </c>
    </row>
    <row r="468" spans="1:16">
      <c r="A468" t="s">
        <v>480</v>
      </c>
      <c r="B468" t="s">
        <v>1017</v>
      </c>
      <c r="C468">
        <v>1118</v>
      </c>
      <c r="D468">
        <v>3</v>
      </c>
      <c r="E468">
        <v>3</v>
      </c>
      <c r="F468">
        <v>6</v>
      </c>
      <c r="G468" t="s">
        <v>1022</v>
      </c>
      <c r="H468" t="s">
        <v>1022</v>
      </c>
      <c r="I468" t="s">
        <v>1023</v>
      </c>
      <c r="J468" t="s">
        <v>1023</v>
      </c>
      <c r="K468" t="s">
        <v>1024</v>
      </c>
      <c r="L468">
        <v>2</v>
      </c>
      <c r="M468">
        <v>22</v>
      </c>
      <c r="N468">
        <v>5050000</v>
      </c>
      <c r="O468">
        <f>PropertyData[[#This Row],[Price]]/PropertyData[[#This Row],[Area_sqft]]</f>
        <v>4516.9946332737027</v>
      </c>
      <c r="P468" t="str">
        <f t="shared" si="7"/>
        <v>Mid-Range</v>
      </c>
    </row>
    <row r="469" spans="1:16">
      <c r="A469" t="s">
        <v>481</v>
      </c>
      <c r="B469" t="s">
        <v>1014</v>
      </c>
      <c r="C469">
        <v>1187</v>
      </c>
      <c r="D469">
        <v>3</v>
      </c>
      <c r="E469">
        <v>3</v>
      </c>
      <c r="F469">
        <v>28</v>
      </c>
      <c r="G469" t="s">
        <v>1022</v>
      </c>
      <c r="H469" t="s">
        <v>1022</v>
      </c>
      <c r="I469" t="s">
        <v>1023</v>
      </c>
      <c r="J469" t="s">
        <v>1022</v>
      </c>
      <c r="K469" t="s">
        <v>1025</v>
      </c>
      <c r="L469">
        <v>20</v>
      </c>
      <c r="M469">
        <v>22</v>
      </c>
      <c r="N469">
        <v>7650000</v>
      </c>
      <c r="O469">
        <f>PropertyData[[#This Row],[Price]]/PropertyData[[#This Row],[Area_sqft]]</f>
        <v>6444.8188711036228</v>
      </c>
      <c r="P469" t="str">
        <f t="shared" si="7"/>
        <v>Mid-Range</v>
      </c>
    </row>
    <row r="470" spans="1:16">
      <c r="A470" t="s">
        <v>482</v>
      </c>
      <c r="B470" t="s">
        <v>1020</v>
      </c>
      <c r="C470">
        <v>887</v>
      </c>
      <c r="D470">
        <v>1</v>
      </c>
      <c r="E470">
        <v>1</v>
      </c>
      <c r="F470">
        <v>0</v>
      </c>
      <c r="G470" t="s">
        <v>1022</v>
      </c>
      <c r="H470" t="s">
        <v>1022</v>
      </c>
      <c r="I470" t="s">
        <v>1023</v>
      </c>
      <c r="J470" t="s">
        <v>1022</v>
      </c>
      <c r="K470" t="s">
        <v>1026</v>
      </c>
      <c r="L470">
        <v>11</v>
      </c>
      <c r="M470">
        <v>16</v>
      </c>
      <c r="N470">
        <v>9350000</v>
      </c>
      <c r="O470">
        <f>PropertyData[[#This Row],[Price]]/PropertyData[[#This Row],[Area_sqft]]</f>
        <v>10541.149943630215</v>
      </c>
      <c r="P470" t="str">
        <f t="shared" si="7"/>
        <v>Mid-Range</v>
      </c>
    </row>
    <row r="471" spans="1:16">
      <c r="A471" t="s">
        <v>483</v>
      </c>
      <c r="B471" t="s">
        <v>1016</v>
      </c>
      <c r="C471">
        <v>1075</v>
      </c>
      <c r="D471">
        <v>2</v>
      </c>
      <c r="E471">
        <v>2</v>
      </c>
      <c r="F471">
        <v>9</v>
      </c>
      <c r="G471" t="s">
        <v>1022</v>
      </c>
      <c r="H471" t="s">
        <v>1022</v>
      </c>
      <c r="I471" t="s">
        <v>1023</v>
      </c>
      <c r="J471" t="s">
        <v>1023</v>
      </c>
      <c r="K471" t="s">
        <v>1025</v>
      </c>
      <c r="L471">
        <v>10</v>
      </c>
      <c r="M471">
        <v>11</v>
      </c>
      <c r="N471">
        <v>4750000</v>
      </c>
      <c r="O471">
        <f>PropertyData[[#This Row],[Price]]/PropertyData[[#This Row],[Area_sqft]]</f>
        <v>4418.604651162791</v>
      </c>
      <c r="P471" t="str">
        <f t="shared" si="7"/>
        <v>Budget</v>
      </c>
    </row>
    <row r="472" spans="1:16">
      <c r="A472" t="s">
        <v>484</v>
      </c>
      <c r="B472" t="s">
        <v>1016</v>
      </c>
      <c r="C472">
        <v>1853</v>
      </c>
      <c r="D472">
        <v>4</v>
      </c>
      <c r="E472">
        <v>3</v>
      </c>
      <c r="F472">
        <v>25</v>
      </c>
      <c r="G472" t="s">
        <v>1022</v>
      </c>
      <c r="H472" t="s">
        <v>1022</v>
      </c>
      <c r="I472" t="s">
        <v>1023</v>
      </c>
      <c r="J472" t="s">
        <v>1022</v>
      </c>
      <c r="K472" t="s">
        <v>1025</v>
      </c>
      <c r="L472">
        <v>16</v>
      </c>
      <c r="M472">
        <v>16</v>
      </c>
      <c r="N472">
        <v>8150000</v>
      </c>
      <c r="O472">
        <f>PropertyData[[#This Row],[Price]]/PropertyData[[#This Row],[Area_sqft]]</f>
        <v>4398.2730706961684</v>
      </c>
      <c r="P472" t="str">
        <f t="shared" si="7"/>
        <v>Mid-Range</v>
      </c>
    </row>
    <row r="473" spans="1:16">
      <c r="A473" t="s">
        <v>485</v>
      </c>
      <c r="B473" t="s">
        <v>1018</v>
      </c>
      <c r="C473">
        <v>1429</v>
      </c>
      <c r="D473">
        <v>4</v>
      </c>
      <c r="E473">
        <v>5</v>
      </c>
      <c r="F473">
        <v>20</v>
      </c>
      <c r="G473" t="s">
        <v>1023</v>
      </c>
      <c r="H473" t="s">
        <v>1023</v>
      </c>
      <c r="I473" t="s">
        <v>1023</v>
      </c>
      <c r="J473" t="s">
        <v>1022</v>
      </c>
      <c r="K473" t="s">
        <v>1025</v>
      </c>
      <c r="L473">
        <v>6</v>
      </c>
      <c r="M473">
        <v>19</v>
      </c>
      <c r="N473">
        <v>5100000</v>
      </c>
      <c r="O473">
        <f>PropertyData[[#This Row],[Price]]/PropertyData[[#This Row],[Area_sqft]]</f>
        <v>3568.9293212036391</v>
      </c>
      <c r="P473" t="str">
        <f t="shared" si="7"/>
        <v>Mid-Range</v>
      </c>
    </row>
    <row r="474" spans="1:16">
      <c r="A474" t="s">
        <v>486</v>
      </c>
      <c r="B474" t="s">
        <v>1020</v>
      </c>
      <c r="C474">
        <v>834</v>
      </c>
      <c r="D474">
        <v>2</v>
      </c>
      <c r="E474">
        <v>3</v>
      </c>
      <c r="F474">
        <v>7</v>
      </c>
      <c r="G474" t="s">
        <v>1023</v>
      </c>
      <c r="H474" t="s">
        <v>1023</v>
      </c>
      <c r="I474" t="s">
        <v>1023</v>
      </c>
      <c r="J474" t="s">
        <v>1022</v>
      </c>
      <c r="K474" t="s">
        <v>1024</v>
      </c>
      <c r="L474">
        <v>14</v>
      </c>
      <c r="M474">
        <v>15</v>
      </c>
      <c r="N474">
        <v>6450000</v>
      </c>
      <c r="O474">
        <f>PropertyData[[#This Row],[Price]]/PropertyData[[#This Row],[Area_sqft]]</f>
        <v>7733.812949640288</v>
      </c>
      <c r="P474" t="str">
        <f t="shared" si="7"/>
        <v>Mid-Range</v>
      </c>
    </row>
    <row r="475" spans="1:16">
      <c r="A475" t="s">
        <v>487</v>
      </c>
      <c r="B475" t="s">
        <v>1020</v>
      </c>
      <c r="C475">
        <v>1499</v>
      </c>
      <c r="D475">
        <v>3</v>
      </c>
      <c r="E475">
        <v>3</v>
      </c>
      <c r="F475">
        <v>3</v>
      </c>
      <c r="G475" t="s">
        <v>1022</v>
      </c>
      <c r="H475" t="s">
        <v>1022</v>
      </c>
      <c r="I475" t="s">
        <v>1022</v>
      </c>
      <c r="J475" t="s">
        <v>1022</v>
      </c>
      <c r="K475" t="s">
        <v>1025</v>
      </c>
      <c r="L475">
        <v>8</v>
      </c>
      <c r="M475">
        <v>23</v>
      </c>
      <c r="N475">
        <v>12000000</v>
      </c>
      <c r="O475">
        <f>PropertyData[[#This Row],[Price]]/PropertyData[[#This Row],[Area_sqft]]</f>
        <v>8005.3368912608403</v>
      </c>
      <c r="P475" t="str">
        <f t="shared" si="7"/>
        <v>Premium</v>
      </c>
    </row>
    <row r="476" spans="1:16">
      <c r="A476" t="s">
        <v>488</v>
      </c>
      <c r="B476" t="s">
        <v>1015</v>
      </c>
      <c r="C476">
        <v>1141</v>
      </c>
      <c r="D476">
        <v>3</v>
      </c>
      <c r="E476">
        <v>4</v>
      </c>
      <c r="F476">
        <v>30</v>
      </c>
      <c r="G476" t="s">
        <v>1023</v>
      </c>
      <c r="H476" t="s">
        <v>1023</v>
      </c>
      <c r="I476" t="s">
        <v>1023</v>
      </c>
      <c r="J476" t="s">
        <v>1022</v>
      </c>
      <c r="K476" t="s">
        <v>1025</v>
      </c>
      <c r="L476">
        <v>8</v>
      </c>
      <c r="M476">
        <v>12</v>
      </c>
      <c r="N476">
        <v>2600000</v>
      </c>
      <c r="O476">
        <f>PropertyData[[#This Row],[Price]]/PropertyData[[#This Row],[Area_sqft]]</f>
        <v>2278.7028921998249</v>
      </c>
      <c r="P476" t="str">
        <f t="shared" si="7"/>
        <v>Budget</v>
      </c>
    </row>
    <row r="477" spans="1:16">
      <c r="A477" t="s">
        <v>489</v>
      </c>
      <c r="B477" t="s">
        <v>1019</v>
      </c>
      <c r="C477">
        <v>852</v>
      </c>
      <c r="D477">
        <v>2</v>
      </c>
      <c r="E477">
        <v>2</v>
      </c>
      <c r="F477">
        <v>8</v>
      </c>
      <c r="G477" t="s">
        <v>1023</v>
      </c>
      <c r="H477" t="s">
        <v>1023</v>
      </c>
      <c r="I477" t="s">
        <v>1023</v>
      </c>
      <c r="J477" t="s">
        <v>1022</v>
      </c>
      <c r="K477" t="s">
        <v>1025</v>
      </c>
      <c r="L477">
        <v>3</v>
      </c>
      <c r="M477">
        <v>8</v>
      </c>
      <c r="N477">
        <v>7050000</v>
      </c>
      <c r="O477">
        <f>PropertyData[[#This Row],[Price]]/PropertyData[[#This Row],[Area_sqft]]</f>
        <v>8274.647887323943</v>
      </c>
      <c r="P477" t="str">
        <f t="shared" si="7"/>
        <v>Mid-Range</v>
      </c>
    </row>
    <row r="478" spans="1:16">
      <c r="A478" t="s">
        <v>490</v>
      </c>
      <c r="B478" t="s">
        <v>1017</v>
      </c>
      <c r="C478">
        <v>1502</v>
      </c>
      <c r="D478">
        <v>3</v>
      </c>
      <c r="E478">
        <v>3</v>
      </c>
      <c r="F478">
        <v>11</v>
      </c>
      <c r="G478" t="s">
        <v>1022</v>
      </c>
      <c r="H478" t="s">
        <v>1022</v>
      </c>
      <c r="I478" t="s">
        <v>1023</v>
      </c>
      <c r="J478" t="s">
        <v>1022</v>
      </c>
      <c r="K478" t="s">
        <v>1025</v>
      </c>
      <c r="L478">
        <v>1</v>
      </c>
      <c r="M478">
        <v>18</v>
      </c>
      <c r="N478">
        <v>6000000</v>
      </c>
      <c r="O478">
        <f>PropertyData[[#This Row],[Price]]/PropertyData[[#This Row],[Area_sqft]]</f>
        <v>3994.6737683089214</v>
      </c>
      <c r="P478" t="str">
        <f t="shared" si="7"/>
        <v>Mid-Range</v>
      </c>
    </row>
    <row r="479" spans="1:16">
      <c r="A479" t="s">
        <v>491</v>
      </c>
      <c r="B479" t="s">
        <v>1021</v>
      </c>
      <c r="C479">
        <v>893</v>
      </c>
      <c r="D479">
        <v>1</v>
      </c>
      <c r="E479">
        <v>1</v>
      </c>
      <c r="F479">
        <v>10</v>
      </c>
      <c r="G479" t="s">
        <v>1022</v>
      </c>
      <c r="H479" t="s">
        <v>1023</v>
      </c>
      <c r="I479" t="s">
        <v>1022</v>
      </c>
      <c r="J479" t="s">
        <v>1022</v>
      </c>
      <c r="K479" t="s">
        <v>1026</v>
      </c>
      <c r="L479">
        <v>10</v>
      </c>
      <c r="M479">
        <v>12</v>
      </c>
      <c r="N479">
        <v>7100000</v>
      </c>
      <c r="O479">
        <f>PropertyData[[#This Row],[Price]]/PropertyData[[#This Row],[Area_sqft]]</f>
        <v>7950.7278835386342</v>
      </c>
      <c r="P479" t="str">
        <f t="shared" si="7"/>
        <v>Mid-Range</v>
      </c>
    </row>
    <row r="480" spans="1:16">
      <c r="A480" t="s">
        <v>492</v>
      </c>
      <c r="B480" t="s">
        <v>1018</v>
      </c>
      <c r="C480">
        <v>1527</v>
      </c>
      <c r="D480">
        <v>4</v>
      </c>
      <c r="E480">
        <v>4</v>
      </c>
      <c r="F480">
        <v>15</v>
      </c>
      <c r="G480" t="s">
        <v>1022</v>
      </c>
      <c r="H480" t="s">
        <v>1022</v>
      </c>
      <c r="I480" t="s">
        <v>1023</v>
      </c>
      <c r="J480" t="s">
        <v>1022</v>
      </c>
      <c r="K480" t="s">
        <v>1025</v>
      </c>
      <c r="L480">
        <v>4</v>
      </c>
      <c r="M480">
        <v>14</v>
      </c>
      <c r="N480">
        <v>8050000</v>
      </c>
      <c r="O480">
        <f>PropertyData[[#This Row],[Price]]/PropertyData[[#This Row],[Area_sqft]]</f>
        <v>5271.7747216764901</v>
      </c>
      <c r="P480" t="str">
        <f t="shared" si="7"/>
        <v>Mid-Range</v>
      </c>
    </row>
    <row r="481" spans="1:16">
      <c r="A481" t="s">
        <v>493</v>
      </c>
      <c r="B481" t="s">
        <v>1017</v>
      </c>
      <c r="C481">
        <v>1850</v>
      </c>
      <c r="D481">
        <v>5</v>
      </c>
      <c r="E481">
        <v>5</v>
      </c>
      <c r="F481">
        <v>16</v>
      </c>
      <c r="G481" t="s">
        <v>1023</v>
      </c>
      <c r="H481" t="s">
        <v>1022</v>
      </c>
      <c r="I481" t="s">
        <v>1023</v>
      </c>
      <c r="J481" t="s">
        <v>1023</v>
      </c>
      <c r="K481" t="s">
        <v>1025</v>
      </c>
      <c r="L481">
        <v>7</v>
      </c>
      <c r="M481">
        <v>10</v>
      </c>
      <c r="N481">
        <v>6000000</v>
      </c>
      <c r="O481">
        <f>PropertyData[[#This Row],[Price]]/PropertyData[[#This Row],[Area_sqft]]</f>
        <v>3243.2432432432433</v>
      </c>
      <c r="P481" t="str">
        <f t="shared" si="7"/>
        <v>Mid-Range</v>
      </c>
    </row>
    <row r="482" spans="1:16">
      <c r="A482" t="s">
        <v>494</v>
      </c>
      <c r="B482" t="s">
        <v>1016</v>
      </c>
      <c r="C482">
        <v>1269</v>
      </c>
      <c r="D482">
        <v>4</v>
      </c>
      <c r="E482">
        <v>4</v>
      </c>
      <c r="F482">
        <v>2</v>
      </c>
      <c r="G482" t="s">
        <v>1022</v>
      </c>
      <c r="H482" t="s">
        <v>1022</v>
      </c>
      <c r="I482" t="s">
        <v>1022</v>
      </c>
      <c r="J482" t="s">
        <v>1022</v>
      </c>
      <c r="K482" t="s">
        <v>1025</v>
      </c>
      <c r="L482">
        <v>19</v>
      </c>
      <c r="M482">
        <v>19</v>
      </c>
      <c r="N482">
        <v>8050000</v>
      </c>
      <c r="O482">
        <f>PropertyData[[#This Row],[Price]]/PropertyData[[#This Row],[Area_sqft]]</f>
        <v>6343.5776201733652</v>
      </c>
      <c r="P482" t="str">
        <f t="shared" si="7"/>
        <v>Mid-Range</v>
      </c>
    </row>
    <row r="483" spans="1:16">
      <c r="A483" t="s">
        <v>495</v>
      </c>
      <c r="B483" t="s">
        <v>1017</v>
      </c>
      <c r="C483">
        <v>1180</v>
      </c>
      <c r="D483">
        <v>2</v>
      </c>
      <c r="E483">
        <v>2</v>
      </c>
      <c r="F483">
        <v>3</v>
      </c>
      <c r="G483" t="s">
        <v>1022</v>
      </c>
      <c r="H483" t="s">
        <v>1023</v>
      </c>
      <c r="I483" t="s">
        <v>1023</v>
      </c>
      <c r="J483" t="s">
        <v>1022</v>
      </c>
      <c r="K483" t="s">
        <v>1025</v>
      </c>
      <c r="L483">
        <v>9</v>
      </c>
      <c r="M483">
        <v>10</v>
      </c>
      <c r="N483">
        <v>4650000</v>
      </c>
      <c r="O483">
        <f>PropertyData[[#This Row],[Price]]/PropertyData[[#This Row],[Area_sqft]]</f>
        <v>3940.6779661016949</v>
      </c>
      <c r="P483" t="str">
        <f t="shared" si="7"/>
        <v>Budget</v>
      </c>
    </row>
    <row r="484" spans="1:16">
      <c r="A484" t="s">
        <v>496</v>
      </c>
      <c r="B484" t="s">
        <v>1015</v>
      </c>
      <c r="C484">
        <v>800</v>
      </c>
      <c r="D484">
        <v>2</v>
      </c>
      <c r="E484">
        <v>2</v>
      </c>
      <c r="F484">
        <v>21</v>
      </c>
      <c r="G484" t="s">
        <v>1022</v>
      </c>
      <c r="H484" t="s">
        <v>1022</v>
      </c>
      <c r="I484" t="s">
        <v>1023</v>
      </c>
      <c r="J484" t="s">
        <v>1022</v>
      </c>
      <c r="K484" t="s">
        <v>1025</v>
      </c>
      <c r="L484">
        <v>14</v>
      </c>
      <c r="M484">
        <v>14</v>
      </c>
      <c r="N484">
        <v>2750000</v>
      </c>
      <c r="O484">
        <f>PropertyData[[#This Row],[Price]]/PropertyData[[#This Row],[Area_sqft]]</f>
        <v>3437.5</v>
      </c>
      <c r="P484" t="str">
        <f t="shared" si="7"/>
        <v>Budget</v>
      </c>
    </row>
    <row r="485" spans="1:16">
      <c r="A485" t="s">
        <v>497</v>
      </c>
      <c r="B485" t="s">
        <v>1017</v>
      </c>
      <c r="C485">
        <v>608</v>
      </c>
      <c r="D485">
        <v>1</v>
      </c>
      <c r="E485">
        <v>1</v>
      </c>
      <c r="F485">
        <v>25</v>
      </c>
      <c r="G485" t="s">
        <v>1022</v>
      </c>
      <c r="H485" t="s">
        <v>1023</v>
      </c>
      <c r="I485" t="s">
        <v>1022</v>
      </c>
      <c r="J485" t="s">
        <v>1022</v>
      </c>
      <c r="K485" t="s">
        <v>1025</v>
      </c>
      <c r="L485">
        <v>5</v>
      </c>
      <c r="M485">
        <v>22</v>
      </c>
      <c r="N485">
        <v>2250000</v>
      </c>
      <c r="O485">
        <f>PropertyData[[#This Row],[Price]]/PropertyData[[#This Row],[Area_sqft]]</f>
        <v>3700.6578947368421</v>
      </c>
      <c r="P485" t="str">
        <f t="shared" si="7"/>
        <v>Budget</v>
      </c>
    </row>
    <row r="486" spans="1:16">
      <c r="A486" t="s">
        <v>498</v>
      </c>
      <c r="B486" t="s">
        <v>1018</v>
      </c>
      <c r="C486">
        <v>1542</v>
      </c>
      <c r="D486">
        <v>3</v>
      </c>
      <c r="E486">
        <v>3</v>
      </c>
      <c r="F486">
        <v>9</v>
      </c>
      <c r="G486" t="s">
        <v>1022</v>
      </c>
      <c r="H486" t="s">
        <v>1023</v>
      </c>
      <c r="I486" t="s">
        <v>1023</v>
      </c>
      <c r="J486" t="s">
        <v>1022</v>
      </c>
      <c r="K486" t="s">
        <v>1025</v>
      </c>
      <c r="L486">
        <v>17</v>
      </c>
      <c r="M486">
        <v>17</v>
      </c>
      <c r="N486">
        <v>7250000</v>
      </c>
      <c r="O486">
        <f>PropertyData[[#This Row],[Price]]/PropertyData[[#This Row],[Area_sqft]]</f>
        <v>4701.6861219195853</v>
      </c>
      <c r="P486" t="str">
        <f t="shared" si="7"/>
        <v>Mid-Range</v>
      </c>
    </row>
    <row r="487" spans="1:16">
      <c r="A487" t="s">
        <v>499</v>
      </c>
      <c r="B487" t="s">
        <v>1016</v>
      </c>
      <c r="C487">
        <v>809</v>
      </c>
      <c r="D487">
        <v>2</v>
      </c>
      <c r="E487">
        <v>1</v>
      </c>
      <c r="F487">
        <v>9</v>
      </c>
      <c r="G487" t="s">
        <v>1022</v>
      </c>
      <c r="H487" t="s">
        <v>1022</v>
      </c>
      <c r="I487" t="s">
        <v>1023</v>
      </c>
      <c r="J487" t="s">
        <v>1022</v>
      </c>
      <c r="K487" t="s">
        <v>1025</v>
      </c>
      <c r="L487">
        <v>12</v>
      </c>
      <c r="M487">
        <v>18</v>
      </c>
      <c r="N487">
        <v>3550000</v>
      </c>
      <c r="O487">
        <f>PropertyData[[#This Row],[Price]]/PropertyData[[#This Row],[Area_sqft]]</f>
        <v>4388.1334981458594</v>
      </c>
      <c r="P487" t="str">
        <f t="shared" si="7"/>
        <v>Budget</v>
      </c>
    </row>
    <row r="488" spans="1:16">
      <c r="A488" t="s">
        <v>500</v>
      </c>
      <c r="B488" t="s">
        <v>1018</v>
      </c>
      <c r="C488">
        <v>1988</v>
      </c>
      <c r="D488">
        <v>5</v>
      </c>
      <c r="E488">
        <v>5</v>
      </c>
      <c r="F488">
        <v>12</v>
      </c>
      <c r="G488" t="s">
        <v>1022</v>
      </c>
      <c r="H488" t="s">
        <v>1023</v>
      </c>
      <c r="I488" t="s">
        <v>1022</v>
      </c>
      <c r="J488" t="s">
        <v>1022</v>
      </c>
      <c r="K488" t="s">
        <v>1026</v>
      </c>
      <c r="L488">
        <v>6</v>
      </c>
      <c r="M488">
        <v>18</v>
      </c>
      <c r="N488">
        <v>14450000</v>
      </c>
      <c r="O488">
        <f>PropertyData[[#This Row],[Price]]/PropertyData[[#This Row],[Area_sqft]]</f>
        <v>7268.611670020121</v>
      </c>
      <c r="P488" t="str">
        <f t="shared" si="7"/>
        <v>Premium</v>
      </c>
    </row>
    <row r="489" spans="1:16">
      <c r="A489" t="s">
        <v>501</v>
      </c>
      <c r="B489" t="s">
        <v>1016</v>
      </c>
      <c r="C489">
        <v>1351</v>
      </c>
      <c r="D489">
        <v>3</v>
      </c>
      <c r="E489">
        <v>3</v>
      </c>
      <c r="F489">
        <v>11</v>
      </c>
      <c r="G489" t="s">
        <v>1022</v>
      </c>
      <c r="H489" t="s">
        <v>1023</v>
      </c>
      <c r="I489" t="s">
        <v>1023</v>
      </c>
      <c r="J489" t="s">
        <v>1022</v>
      </c>
      <c r="K489" t="s">
        <v>1025</v>
      </c>
      <c r="L489">
        <v>1</v>
      </c>
      <c r="M489">
        <v>4</v>
      </c>
      <c r="N489">
        <v>6450000</v>
      </c>
      <c r="O489">
        <f>PropertyData[[#This Row],[Price]]/PropertyData[[#This Row],[Area_sqft]]</f>
        <v>4774.241302738712</v>
      </c>
      <c r="P489" t="str">
        <f t="shared" si="7"/>
        <v>Mid-Range</v>
      </c>
    </row>
    <row r="490" spans="1:16">
      <c r="A490" t="s">
        <v>502</v>
      </c>
      <c r="B490" t="s">
        <v>1015</v>
      </c>
      <c r="C490">
        <v>1215</v>
      </c>
      <c r="D490">
        <v>3</v>
      </c>
      <c r="E490">
        <v>3</v>
      </c>
      <c r="F490">
        <v>25</v>
      </c>
      <c r="G490" t="s">
        <v>1022</v>
      </c>
      <c r="H490" t="s">
        <v>1022</v>
      </c>
      <c r="I490" t="s">
        <v>1023</v>
      </c>
      <c r="J490" t="s">
        <v>1022</v>
      </c>
      <c r="K490" t="s">
        <v>1025</v>
      </c>
      <c r="L490">
        <v>7</v>
      </c>
      <c r="M490">
        <v>18</v>
      </c>
      <c r="N490">
        <v>3700000</v>
      </c>
      <c r="O490">
        <f>PropertyData[[#This Row],[Price]]/PropertyData[[#This Row],[Area_sqft]]</f>
        <v>3045.2674897119341</v>
      </c>
      <c r="P490" t="str">
        <f t="shared" si="7"/>
        <v>Budget</v>
      </c>
    </row>
    <row r="491" spans="1:16">
      <c r="A491" t="s">
        <v>503</v>
      </c>
      <c r="B491" t="s">
        <v>1021</v>
      </c>
      <c r="C491">
        <v>1122</v>
      </c>
      <c r="D491">
        <v>2</v>
      </c>
      <c r="E491">
        <v>3</v>
      </c>
      <c r="F491">
        <v>30</v>
      </c>
      <c r="G491" t="s">
        <v>1022</v>
      </c>
      <c r="H491" t="s">
        <v>1023</v>
      </c>
      <c r="I491" t="s">
        <v>1023</v>
      </c>
      <c r="J491" t="s">
        <v>1023</v>
      </c>
      <c r="K491" t="s">
        <v>1024</v>
      </c>
      <c r="L491">
        <v>10</v>
      </c>
      <c r="M491">
        <v>21</v>
      </c>
      <c r="N491">
        <v>5550000</v>
      </c>
      <c r="O491">
        <f>PropertyData[[#This Row],[Price]]/PropertyData[[#This Row],[Area_sqft]]</f>
        <v>4946.5240641711234</v>
      </c>
      <c r="P491" t="str">
        <f t="shared" si="7"/>
        <v>Mid-Range</v>
      </c>
    </row>
    <row r="492" spans="1:16">
      <c r="A492" t="s">
        <v>504</v>
      </c>
      <c r="B492" t="s">
        <v>1019</v>
      </c>
      <c r="C492">
        <v>1050</v>
      </c>
      <c r="D492">
        <v>2</v>
      </c>
      <c r="E492">
        <v>1</v>
      </c>
      <c r="F492">
        <v>30</v>
      </c>
      <c r="G492" t="s">
        <v>1022</v>
      </c>
      <c r="H492" t="s">
        <v>1022</v>
      </c>
      <c r="I492" t="s">
        <v>1023</v>
      </c>
      <c r="J492" t="s">
        <v>1022</v>
      </c>
      <c r="K492" t="s">
        <v>1024</v>
      </c>
      <c r="L492">
        <v>6</v>
      </c>
      <c r="M492">
        <v>16</v>
      </c>
      <c r="N492">
        <v>8800000</v>
      </c>
      <c r="O492">
        <f>PropertyData[[#This Row],[Price]]/PropertyData[[#This Row],[Area_sqft]]</f>
        <v>8380.9523809523816</v>
      </c>
      <c r="P492" t="str">
        <f t="shared" si="7"/>
        <v>Mid-Range</v>
      </c>
    </row>
    <row r="493" spans="1:16">
      <c r="A493" t="s">
        <v>505</v>
      </c>
      <c r="B493" t="s">
        <v>1016</v>
      </c>
      <c r="C493">
        <v>1574</v>
      </c>
      <c r="D493">
        <v>4</v>
      </c>
      <c r="E493">
        <v>3</v>
      </c>
      <c r="F493">
        <v>1</v>
      </c>
      <c r="G493" t="s">
        <v>1022</v>
      </c>
      <c r="H493" t="s">
        <v>1022</v>
      </c>
      <c r="I493" t="s">
        <v>1022</v>
      </c>
      <c r="J493" t="s">
        <v>1022</v>
      </c>
      <c r="K493" t="s">
        <v>1025</v>
      </c>
      <c r="L493">
        <v>18</v>
      </c>
      <c r="M493">
        <v>20</v>
      </c>
      <c r="N493">
        <v>9400000</v>
      </c>
      <c r="O493">
        <f>PropertyData[[#This Row],[Price]]/PropertyData[[#This Row],[Area_sqft]]</f>
        <v>5972.0457433290976</v>
      </c>
      <c r="P493" t="str">
        <f t="shared" si="7"/>
        <v>Mid-Range</v>
      </c>
    </row>
    <row r="494" spans="1:16">
      <c r="A494" t="s">
        <v>506</v>
      </c>
      <c r="B494" t="s">
        <v>1014</v>
      </c>
      <c r="C494">
        <v>1609</v>
      </c>
      <c r="D494">
        <v>3</v>
      </c>
      <c r="E494">
        <v>3</v>
      </c>
      <c r="F494">
        <v>7</v>
      </c>
      <c r="G494" t="s">
        <v>1022</v>
      </c>
      <c r="H494" t="s">
        <v>1023</v>
      </c>
      <c r="I494" t="s">
        <v>1023</v>
      </c>
      <c r="J494" t="s">
        <v>1022</v>
      </c>
      <c r="K494" t="s">
        <v>1025</v>
      </c>
      <c r="L494">
        <v>19</v>
      </c>
      <c r="M494">
        <v>20</v>
      </c>
      <c r="N494">
        <v>10800000</v>
      </c>
      <c r="O494">
        <f>PropertyData[[#This Row],[Price]]/PropertyData[[#This Row],[Area_sqft]]</f>
        <v>6712.2436295835923</v>
      </c>
      <c r="P494" t="str">
        <f t="shared" si="7"/>
        <v>Premium</v>
      </c>
    </row>
    <row r="495" spans="1:16">
      <c r="A495" t="s">
        <v>507</v>
      </c>
      <c r="B495" t="s">
        <v>1019</v>
      </c>
      <c r="C495">
        <v>1650</v>
      </c>
      <c r="D495">
        <v>3</v>
      </c>
      <c r="E495">
        <v>2</v>
      </c>
      <c r="F495">
        <v>14</v>
      </c>
      <c r="G495" t="s">
        <v>1023</v>
      </c>
      <c r="H495" t="s">
        <v>1022</v>
      </c>
      <c r="I495" t="s">
        <v>1022</v>
      </c>
      <c r="J495" t="s">
        <v>1022</v>
      </c>
      <c r="K495" t="s">
        <v>1024</v>
      </c>
      <c r="L495">
        <v>10</v>
      </c>
      <c r="M495">
        <v>21</v>
      </c>
      <c r="N495">
        <v>14100000</v>
      </c>
      <c r="O495">
        <f>PropertyData[[#This Row],[Price]]/PropertyData[[#This Row],[Area_sqft]]</f>
        <v>8545.454545454546</v>
      </c>
      <c r="P495" t="str">
        <f t="shared" si="7"/>
        <v>Premium</v>
      </c>
    </row>
    <row r="496" spans="1:16">
      <c r="A496" t="s">
        <v>508</v>
      </c>
      <c r="B496" t="s">
        <v>1017</v>
      </c>
      <c r="C496">
        <v>1057</v>
      </c>
      <c r="D496">
        <v>2</v>
      </c>
      <c r="E496">
        <v>3</v>
      </c>
      <c r="F496">
        <v>0</v>
      </c>
      <c r="G496" t="s">
        <v>1022</v>
      </c>
      <c r="H496" t="s">
        <v>1022</v>
      </c>
      <c r="I496" t="s">
        <v>1023</v>
      </c>
      <c r="J496" t="s">
        <v>1022</v>
      </c>
      <c r="K496" t="s">
        <v>1024</v>
      </c>
      <c r="L496">
        <v>7</v>
      </c>
      <c r="M496">
        <v>7</v>
      </c>
      <c r="N496">
        <v>4800000</v>
      </c>
      <c r="O496">
        <f>PropertyData[[#This Row],[Price]]/PropertyData[[#This Row],[Area_sqft]]</f>
        <v>4541.1542100283823</v>
      </c>
      <c r="P496" t="str">
        <f t="shared" si="7"/>
        <v>Budget</v>
      </c>
    </row>
    <row r="497" spans="1:16">
      <c r="A497" t="s">
        <v>509</v>
      </c>
      <c r="B497" t="s">
        <v>1019</v>
      </c>
      <c r="C497">
        <v>1364</v>
      </c>
      <c r="D497">
        <v>2</v>
      </c>
      <c r="E497">
        <v>2</v>
      </c>
      <c r="F497">
        <v>26</v>
      </c>
      <c r="G497" t="s">
        <v>1022</v>
      </c>
      <c r="H497" t="s">
        <v>1023</v>
      </c>
      <c r="I497" t="s">
        <v>1022</v>
      </c>
      <c r="J497" t="s">
        <v>1022</v>
      </c>
      <c r="K497" t="s">
        <v>1025</v>
      </c>
      <c r="L497">
        <v>6</v>
      </c>
      <c r="M497">
        <v>19</v>
      </c>
      <c r="N497">
        <v>9250000</v>
      </c>
      <c r="O497">
        <f>PropertyData[[#This Row],[Price]]/PropertyData[[#This Row],[Area_sqft]]</f>
        <v>6781.5249266862174</v>
      </c>
      <c r="P497" t="str">
        <f t="shared" si="7"/>
        <v>Mid-Range</v>
      </c>
    </row>
    <row r="498" spans="1:16">
      <c r="A498" t="s">
        <v>510</v>
      </c>
      <c r="B498" t="s">
        <v>1015</v>
      </c>
      <c r="C498">
        <v>1476</v>
      </c>
      <c r="D498">
        <v>3</v>
      </c>
      <c r="E498">
        <v>3</v>
      </c>
      <c r="F498">
        <v>22</v>
      </c>
      <c r="G498" t="s">
        <v>1022</v>
      </c>
      <c r="H498" t="s">
        <v>1022</v>
      </c>
      <c r="I498" t="s">
        <v>1023</v>
      </c>
      <c r="J498" t="s">
        <v>1022</v>
      </c>
      <c r="K498" t="s">
        <v>1025</v>
      </c>
      <c r="L498">
        <v>10</v>
      </c>
      <c r="M498">
        <v>14</v>
      </c>
      <c r="N498">
        <v>5550000</v>
      </c>
      <c r="O498">
        <f>PropertyData[[#This Row],[Price]]/PropertyData[[#This Row],[Area_sqft]]</f>
        <v>3760.1626016260161</v>
      </c>
      <c r="P498" t="str">
        <f t="shared" si="7"/>
        <v>Mid-Range</v>
      </c>
    </row>
    <row r="499" spans="1:16">
      <c r="A499" t="s">
        <v>511</v>
      </c>
      <c r="B499" t="s">
        <v>1014</v>
      </c>
      <c r="C499">
        <v>991</v>
      </c>
      <c r="D499">
        <v>2</v>
      </c>
      <c r="E499">
        <v>2</v>
      </c>
      <c r="F499">
        <v>26</v>
      </c>
      <c r="G499" t="s">
        <v>1022</v>
      </c>
      <c r="H499" t="s">
        <v>1022</v>
      </c>
      <c r="I499" t="s">
        <v>1023</v>
      </c>
      <c r="J499" t="s">
        <v>1022</v>
      </c>
      <c r="K499" t="s">
        <v>1025</v>
      </c>
      <c r="L499">
        <v>7</v>
      </c>
      <c r="M499">
        <v>15</v>
      </c>
      <c r="N499">
        <v>6000000</v>
      </c>
      <c r="O499">
        <f>PropertyData[[#This Row],[Price]]/PropertyData[[#This Row],[Area_sqft]]</f>
        <v>6054.4904137235117</v>
      </c>
      <c r="P499" t="str">
        <f t="shared" si="7"/>
        <v>Mid-Range</v>
      </c>
    </row>
    <row r="500" spans="1:16">
      <c r="A500" t="s">
        <v>512</v>
      </c>
      <c r="B500" t="s">
        <v>1016</v>
      </c>
      <c r="C500">
        <v>2317</v>
      </c>
      <c r="D500">
        <v>5</v>
      </c>
      <c r="E500">
        <v>4</v>
      </c>
      <c r="F500">
        <v>26</v>
      </c>
      <c r="G500" t="s">
        <v>1022</v>
      </c>
      <c r="H500" t="s">
        <v>1022</v>
      </c>
      <c r="I500" t="s">
        <v>1022</v>
      </c>
      <c r="J500" t="s">
        <v>1022</v>
      </c>
      <c r="K500" t="s">
        <v>1026</v>
      </c>
      <c r="L500">
        <v>5</v>
      </c>
      <c r="M500">
        <v>17</v>
      </c>
      <c r="N500">
        <v>14800000</v>
      </c>
      <c r="O500">
        <f>PropertyData[[#This Row],[Price]]/PropertyData[[#This Row],[Area_sqft]]</f>
        <v>6387.5701337936989</v>
      </c>
      <c r="P500" t="str">
        <f t="shared" si="7"/>
        <v>Premium</v>
      </c>
    </row>
    <row r="501" spans="1:16">
      <c r="A501" t="s">
        <v>513</v>
      </c>
      <c r="B501" t="s">
        <v>1018</v>
      </c>
      <c r="C501">
        <v>1121</v>
      </c>
      <c r="D501">
        <v>2</v>
      </c>
      <c r="E501">
        <v>2</v>
      </c>
      <c r="F501">
        <v>14</v>
      </c>
      <c r="G501" t="s">
        <v>1022</v>
      </c>
      <c r="H501" t="s">
        <v>1022</v>
      </c>
      <c r="I501" t="s">
        <v>1022</v>
      </c>
      <c r="J501" t="s">
        <v>1023</v>
      </c>
      <c r="K501" t="s">
        <v>1026</v>
      </c>
      <c r="L501">
        <v>19</v>
      </c>
      <c r="M501">
        <v>20</v>
      </c>
      <c r="N501">
        <v>8700000</v>
      </c>
      <c r="O501">
        <f>PropertyData[[#This Row],[Price]]/PropertyData[[#This Row],[Area_sqft]]</f>
        <v>7760.9277430865295</v>
      </c>
      <c r="P501" t="str">
        <f t="shared" si="7"/>
        <v>Mid-Range</v>
      </c>
    </row>
    <row r="502" spans="1:16">
      <c r="A502" t="s">
        <v>514</v>
      </c>
      <c r="B502" t="s">
        <v>1018</v>
      </c>
      <c r="C502">
        <v>1402</v>
      </c>
      <c r="D502">
        <v>3</v>
      </c>
      <c r="E502">
        <v>3</v>
      </c>
      <c r="F502">
        <v>25</v>
      </c>
      <c r="G502" t="s">
        <v>1023</v>
      </c>
      <c r="H502" t="s">
        <v>1023</v>
      </c>
      <c r="I502" t="s">
        <v>1022</v>
      </c>
      <c r="J502" t="s">
        <v>1022</v>
      </c>
      <c r="K502" t="s">
        <v>1025</v>
      </c>
      <c r="L502">
        <v>18</v>
      </c>
      <c r="M502">
        <v>18</v>
      </c>
      <c r="N502">
        <v>6250000</v>
      </c>
      <c r="O502">
        <f>PropertyData[[#This Row],[Price]]/PropertyData[[#This Row],[Area_sqft]]</f>
        <v>4457.9172610556352</v>
      </c>
      <c r="P502" t="str">
        <f t="shared" si="7"/>
        <v>Mid-Range</v>
      </c>
    </row>
    <row r="503" spans="1:16">
      <c r="A503" t="s">
        <v>515</v>
      </c>
      <c r="B503" t="s">
        <v>1015</v>
      </c>
      <c r="C503">
        <v>1736</v>
      </c>
      <c r="D503">
        <v>4</v>
      </c>
      <c r="E503">
        <v>5</v>
      </c>
      <c r="F503">
        <v>22</v>
      </c>
      <c r="G503" t="s">
        <v>1023</v>
      </c>
      <c r="H503" t="s">
        <v>1022</v>
      </c>
      <c r="I503" t="s">
        <v>1023</v>
      </c>
      <c r="J503" t="s">
        <v>1023</v>
      </c>
      <c r="K503" t="s">
        <v>1024</v>
      </c>
      <c r="L503">
        <v>8</v>
      </c>
      <c r="M503">
        <v>10</v>
      </c>
      <c r="N503">
        <v>5650000</v>
      </c>
      <c r="O503">
        <f>PropertyData[[#This Row],[Price]]/PropertyData[[#This Row],[Area_sqft]]</f>
        <v>3254.6082949308757</v>
      </c>
      <c r="P503" t="str">
        <f t="shared" si="7"/>
        <v>Mid-Range</v>
      </c>
    </row>
    <row r="504" spans="1:16">
      <c r="A504" t="s">
        <v>516</v>
      </c>
      <c r="B504" t="s">
        <v>1016</v>
      </c>
      <c r="C504">
        <v>1064</v>
      </c>
      <c r="D504">
        <v>2</v>
      </c>
      <c r="E504">
        <v>3</v>
      </c>
      <c r="F504">
        <v>2</v>
      </c>
      <c r="G504" t="s">
        <v>1022</v>
      </c>
      <c r="H504" t="s">
        <v>1022</v>
      </c>
      <c r="I504" t="s">
        <v>1023</v>
      </c>
      <c r="J504" t="s">
        <v>1022</v>
      </c>
      <c r="K504" t="s">
        <v>1024</v>
      </c>
      <c r="L504">
        <v>14</v>
      </c>
      <c r="M504">
        <v>18</v>
      </c>
      <c r="N504">
        <v>6100000</v>
      </c>
      <c r="O504">
        <f>PropertyData[[#This Row],[Price]]/PropertyData[[#This Row],[Area_sqft]]</f>
        <v>5733.082706766917</v>
      </c>
      <c r="P504" t="str">
        <f t="shared" si="7"/>
        <v>Mid-Range</v>
      </c>
    </row>
    <row r="505" spans="1:16">
      <c r="A505" t="s">
        <v>517</v>
      </c>
      <c r="B505" t="s">
        <v>1021</v>
      </c>
      <c r="C505">
        <v>806</v>
      </c>
      <c r="D505">
        <v>1</v>
      </c>
      <c r="E505">
        <v>1</v>
      </c>
      <c r="F505">
        <v>2</v>
      </c>
      <c r="G505" t="s">
        <v>1022</v>
      </c>
      <c r="H505" t="s">
        <v>1023</v>
      </c>
      <c r="I505" t="s">
        <v>1023</v>
      </c>
      <c r="J505" t="s">
        <v>1023</v>
      </c>
      <c r="K505" t="s">
        <v>1026</v>
      </c>
      <c r="L505">
        <v>20</v>
      </c>
      <c r="M505">
        <v>24</v>
      </c>
      <c r="N505">
        <v>6550000</v>
      </c>
      <c r="O505">
        <f>PropertyData[[#This Row],[Price]]/PropertyData[[#This Row],[Area_sqft]]</f>
        <v>8126.5508684863526</v>
      </c>
      <c r="P505" t="str">
        <f t="shared" si="7"/>
        <v>Mid-Range</v>
      </c>
    </row>
    <row r="506" spans="1:16">
      <c r="A506" t="s">
        <v>518</v>
      </c>
      <c r="B506" t="s">
        <v>1015</v>
      </c>
      <c r="C506">
        <v>1034</v>
      </c>
      <c r="D506">
        <v>2</v>
      </c>
      <c r="E506">
        <v>1</v>
      </c>
      <c r="F506">
        <v>24</v>
      </c>
      <c r="G506" t="s">
        <v>1023</v>
      </c>
      <c r="H506" t="s">
        <v>1022</v>
      </c>
      <c r="I506" t="s">
        <v>1023</v>
      </c>
      <c r="J506" t="s">
        <v>1022</v>
      </c>
      <c r="K506" t="s">
        <v>1024</v>
      </c>
      <c r="L506">
        <v>16</v>
      </c>
      <c r="M506">
        <v>24</v>
      </c>
      <c r="N506">
        <v>3850000</v>
      </c>
      <c r="O506">
        <f>PropertyData[[#This Row],[Price]]/PropertyData[[#This Row],[Area_sqft]]</f>
        <v>3723.4042553191489</v>
      </c>
      <c r="P506" t="str">
        <f t="shared" si="7"/>
        <v>Budget</v>
      </c>
    </row>
    <row r="507" spans="1:16">
      <c r="A507" t="s">
        <v>519</v>
      </c>
      <c r="B507" t="s">
        <v>1020</v>
      </c>
      <c r="C507">
        <v>1067</v>
      </c>
      <c r="D507">
        <v>3</v>
      </c>
      <c r="E507">
        <v>4</v>
      </c>
      <c r="F507">
        <v>24</v>
      </c>
      <c r="G507" t="s">
        <v>1023</v>
      </c>
      <c r="H507" t="s">
        <v>1023</v>
      </c>
      <c r="I507" t="s">
        <v>1023</v>
      </c>
      <c r="J507" t="s">
        <v>1022</v>
      </c>
      <c r="K507" t="s">
        <v>1026</v>
      </c>
      <c r="L507">
        <v>8</v>
      </c>
      <c r="M507">
        <v>8</v>
      </c>
      <c r="N507">
        <v>8100000</v>
      </c>
      <c r="O507">
        <f>PropertyData[[#This Row],[Price]]/PropertyData[[#This Row],[Area_sqft]]</f>
        <v>7591.3776944704778</v>
      </c>
      <c r="P507" t="str">
        <f t="shared" si="7"/>
        <v>Mid-Range</v>
      </c>
    </row>
    <row r="508" spans="1:16">
      <c r="A508" t="s">
        <v>520</v>
      </c>
      <c r="B508" t="s">
        <v>1018</v>
      </c>
      <c r="C508">
        <v>1191</v>
      </c>
      <c r="D508">
        <v>3</v>
      </c>
      <c r="E508">
        <v>3</v>
      </c>
      <c r="F508">
        <v>9</v>
      </c>
      <c r="G508" t="s">
        <v>1023</v>
      </c>
      <c r="H508" t="s">
        <v>1022</v>
      </c>
      <c r="I508" t="s">
        <v>1022</v>
      </c>
      <c r="J508" t="s">
        <v>1022</v>
      </c>
      <c r="K508" t="s">
        <v>1025</v>
      </c>
      <c r="L508">
        <v>15</v>
      </c>
      <c r="M508">
        <v>23</v>
      </c>
      <c r="N508">
        <v>6000000</v>
      </c>
      <c r="O508">
        <f>PropertyData[[#This Row],[Price]]/PropertyData[[#This Row],[Area_sqft]]</f>
        <v>5037.7833753148616</v>
      </c>
      <c r="P508" t="str">
        <f t="shared" si="7"/>
        <v>Mid-Range</v>
      </c>
    </row>
    <row r="509" spans="1:16">
      <c r="A509" t="s">
        <v>521</v>
      </c>
      <c r="B509" t="s">
        <v>1018</v>
      </c>
      <c r="C509">
        <v>943</v>
      </c>
      <c r="D509">
        <v>2</v>
      </c>
      <c r="E509">
        <v>3</v>
      </c>
      <c r="F509">
        <v>4</v>
      </c>
      <c r="G509" t="s">
        <v>1022</v>
      </c>
      <c r="H509" t="s">
        <v>1023</v>
      </c>
      <c r="I509" t="s">
        <v>1023</v>
      </c>
      <c r="J509" t="s">
        <v>1022</v>
      </c>
      <c r="K509" t="s">
        <v>1024</v>
      </c>
      <c r="L509">
        <v>7</v>
      </c>
      <c r="M509">
        <v>10</v>
      </c>
      <c r="N509">
        <v>5650000</v>
      </c>
      <c r="O509">
        <f>PropertyData[[#This Row],[Price]]/PropertyData[[#This Row],[Area_sqft]]</f>
        <v>5991.5164369034992</v>
      </c>
      <c r="P509" t="str">
        <f t="shared" si="7"/>
        <v>Mid-Range</v>
      </c>
    </row>
    <row r="510" spans="1:16">
      <c r="A510" t="s">
        <v>522</v>
      </c>
      <c r="B510" t="s">
        <v>1019</v>
      </c>
      <c r="C510">
        <v>1139</v>
      </c>
      <c r="D510">
        <v>2</v>
      </c>
      <c r="E510">
        <v>2</v>
      </c>
      <c r="F510">
        <v>22</v>
      </c>
      <c r="G510" t="s">
        <v>1023</v>
      </c>
      <c r="H510" t="s">
        <v>1023</v>
      </c>
      <c r="I510" t="s">
        <v>1022</v>
      </c>
      <c r="J510" t="s">
        <v>1022</v>
      </c>
      <c r="K510" t="s">
        <v>1025</v>
      </c>
      <c r="L510">
        <v>11</v>
      </c>
      <c r="M510">
        <v>11</v>
      </c>
      <c r="N510">
        <v>7550000</v>
      </c>
      <c r="O510">
        <f>PropertyData[[#This Row],[Price]]/PropertyData[[#This Row],[Area_sqft]]</f>
        <v>6628.6215978928885</v>
      </c>
      <c r="P510" t="str">
        <f t="shared" si="7"/>
        <v>Mid-Range</v>
      </c>
    </row>
    <row r="511" spans="1:16">
      <c r="A511" t="s">
        <v>523</v>
      </c>
      <c r="B511" t="s">
        <v>1019</v>
      </c>
      <c r="C511">
        <v>943</v>
      </c>
      <c r="D511">
        <v>2</v>
      </c>
      <c r="E511">
        <v>2</v>
      </c>
      <c r="F511">
        <v>17</v>
      </c>
      <c r="G511" t="s">
        <v>1022</v>
      </c>
      <c r="H511" t="s">
        <v>1023</v>
      </c>
      <c r="I511" t="s">
        <v>1023</v>
      </c>
      <c r="J511" t="s">
        <v>1022</v>
      </c>
      <c r="K511" t="s">
        <v>1025</v>
      </c>
      <c r="L511">
        <v>1</v>
      </c>
      <c r="M511">
        <v>23</v>
      </c>
      <c r="N511">
        <v>7450000</v>
      </c>
      <c r="O511">
        <f>PropertyData[[#This Row],[Price]]/PropertyData[[#This Row],[Area_sqft]]</f>
        <v>7900.3181336161188</v>
      </c>
      <c r="P511" t="str">
        <f t="shared" si="7"/>
        <v>Mid-Range</v>
      </c>
    </row>
    <row r="512" spans="1:16">
      <c r="A512" t="s">
        <v>524</v>
      </c>
      <c r="B512" t="s">
        <v>1020</v>
      </c>
      <c r="C512">
        <v>2215</v>
      </c>
      <c r="D512">
        <v>4</v>
      </c>
      <c r="E512">
        <v>5</v>
      </c>
      <c r="F512">
        <v>9</v>
      </c>
      <c r="G512" t="s">
        <v>1022</v>
      </c>
      <c r="H512" t="s">
        <v>1023</v>
      </c>
      <c r="I512" t="s">
        <v>1023</v>
      </c>
      <c r="J512" t="s">
        <v>1022</v>
      </c>
      <c r="K512" t="s">
        <v>1026</v>
      </c>
      <c r="L512">
        <v>17</v>
      </c>
      <c r="M512">
        <v>24</v>
      </c>
      <c r="N512">
        <v>21050000</v>
      </c>
      <c r="O512">
        <f>PropertyData[[#This Row],[Price]]/PropertyData[[#This Row],[Area_sqft]]</f>
        <v>9503.3860045146721</v>
      </c>
      <c r="P512" t="str">
        <f t="shared" si="7"/>
        <v>Premium</v>
      </c>
    </row>
    <row r="513" spans="1:16">
      <c r="A513" t="s">
        <v>525</v>
      </c>
      <c r="B513" t="s">
        <v>1014</v>
      </c>
      <c r="C513">
        <v>1536</v>
      </c>
      <c r="D513">
        <v>3</v>
      </c>
      <c r="E513">
        <v>3</v>
      </c>
      <c r="F513">
        <v>10</v>
      </c>
      <c r="G513" t="s">
        <v>1022</v>
      </c>
      <c r="H513" t="s">
        <v>1022</v>
      </c>
      <c r="I513" t="s">
        <v>1022</v>
      </c>
      <c r="J513" t="s">
        <v>1022</v>
      </c>
      <c r="K513" t="s">
        <v>1025</v>
      </c>
      <c r="L513">
        <v>20</v>
      </c>
      <c r="M513">
        <v>20</v>
      </c>
      <c r="N513">
        <v>10400000</v>
      </c>
      <c r="O513">
        <f>PropertyData[[#This Row],[Price]]/PropertyData[[#This Row],[Area_sqft]]</f>
        <v>6770.833333333333</v>
      </c>
      <c r="P513" t="str">
        <f t="shared" si="7"/>
        <v>Premium</v>
      </c>
    </row>
    <row r="514" spans="1:16">
      <c r="A514" t="s">
        <v>526</v>
      </c>
      <c r="B514" t="s">
        <v>1019</v>
      </c>
      <c r="C514">
        <v>1018</v>
      </c>
      <c r="D514">
        <v>3</v>
      </c>
      <c r="E514">
        <v>3</v>
      </c>
      <c r="F514">
        <v>22</v>
      </c>
      <c r="G514" t="s">
        <v>1022</v>
      </c>
      <c r="H514" t="s">
        <v>1022</v>
      </c>
      <c r="I514" t="s">
        <v>1023</v>
      </c>
      <c r="J514" t="s">
        <v>1022</v>
      </c>
      <c r="K514" t="s">
        <v>1025</v>
      </c>
      <c r="L514">
        <v>14</v>
      </c>
      <c r="M514">
        <v>23</v>
      </c>
      <c r="N514">
        <v>7250000</v>
      </c>
      <c r="O514">
        <f>PropertyData[[#This Row],[Price]]/PropertyData[[#This Row],[Area_sqft]]</f>
        <v>7121.8074656188601</v>
      </c>
      <c r="P514" t="str">
        <f t="shared" ref="P514:P577" si="8">IF(N514&lt;5000000,"Budget",IF(N514&lt;=10000000,"Mid-Range","Premium"))</f>
        <v>Mid-Range</v>
      </c>
    </row>
    <row r="515" spans="1:16">
      <c r="A515" t="s">
        <v>527</v>
      </c>
      <c r="B515" t="s">
        <v>1015</v>
      </c>
      <c r="C515">
        <v>1744</v>
      </c>
      <c r="D515">
        <v>4</v>
      </c>
      <c r="E515">
        <v>4</v>
      </c>
      <c r="F515">
        <v>25</v>
      </c>
      <c r="G515" t="s">
        <v>1022</v>
      </c>
      <c r="H515" t="s">
        <v>1023</v>
      </c>
      <c r="I515" t="s">
        <v>1023</v>
      </c>
      <c r="J515" t="s">
        <v>1022</v>
      </c>
      <c r="K515" t="s">
        <v>1025</v>
      </c>
      <c r="L515">
        <v>20</v>
      </c>
      <c r="M515">
        <v>21</v>
      </c>
      <c r="N515">
        <v>4500000</v>
      </c>
      <c r="O515">
        <f>PropertyData[[#This Row],[Price]]/PropertyData[[#This Row],[Area_sqft]]</f>
        <v>2580.2752293577983</v>
      </c>
      <c r="P515" t="str">
        <f t="shared" si="8"/>
        <v>Budget</v>
      </c>
    </row>
    <row r="516" spans="1:16">
      <c r="A516" t="s">
        <v>528</v>
      </c>
      <c r="B516" t="s">
        <v>1015</v>
      </c>
      <c r="C516">
        <v>1252</v>
      </c>
      <c r="D516">
        <v>3</v>
      </c>
      <c r="E516">
        <v>3</v>
      </c>
      <c r="F516">
        <v>21</v>
      </c>
      <c r="G516" t="s">
        <v>1022</v>
      </c>
      <c r="H516" t="s">
        <v>1022</v>
      </c>
      <c r="I516" t="s">
        <v>1022</v>
      </c>
      <c r="J516" t="s">
        <v>1022</v>
      </c>
      <c r="K516" t="s">
        <v>1025</v>
      </c>
      <c r="L516">
        <v>11</v>
      </c>
      <c r="M516">
        <v>11</v>
      </c>
      <c r="N516">
        <v>4500000</v>
      </c>
      <c r="O516">
        <f>PropertyData[[#This Row],[Price]]/PropertyData[[#This Row],[Area_sqft]]</f>
        <v>3594.2492012779553</v>
      </c>
      <c r="P516" t="str">
        <f t="shared" si="8"/>
        <v>Budget</v>
      </c>
    </row>
    <row r="517" spans="1:16">
      <c r="A517" t="s">
        <v>529</v>
      </c>
      <c r="B517" t="s">
        <v>1018</v>
      </c>
      <c r="C517">
        <v>1265</v>
      </c>
      <c r="D517">
        <v>3</v>
      </c>
      <c r="E517">
        <v>3</v>
      </c>
      <c r="F517">
        <v>4</v>
      </c>
      <c r="G517" t="s">
        <v>1022</v>
      </c>
      <c r="H517" t="s">
        <v>1023</v>
      </c>
      <c r="I517" t="s">
        <v>1022</v>
      </c>
      <c r="J517" t="s">
        <v>1022</v>
      </c>
      <c r="K517" t="s">
        <v>1024</v>
      </c>
      <c r="L517">
        <v>20</v>
      </c>
      <c r="M517">
        <v>23</v>
      </c>
      <c r="N517">
        <v>7550000</v>
      </c>
      <c r="O517">
        <f>PropertyData[[#This Row],[Price]]/PropertyData[[#This Row],[Area_sqft]]</f>
        <v>5968.379446640316</v>
      </c>
      <c r="P517" t="str">
        <f t="shared" si="8"/>
        <v>Mid-Range</v>
      </c>
    </row>
    <row r="518" spans="1:16">
      <c r="A518" t="s">
        <v>530</v>
      </c>
      <c r="B518" t="s">
        <v>1016</v>
      </c>
      <c r="C518">
        <v>1021</v>
      </c>
      <c r="D518">
        <v>2</v>
      </c>
      <c r="E518">
        <v>2</v>
      </c>
      <c r="F518">
        <v>23</v>
      </c>
      <c r="G518" t="s">
        <v>1023</v>
      </c>
      <c r="H518" t="s">
        <v>1023</v>
      </c>
      <c r="I518" t="s">
        <v>1022</v>
      </c>
      <c r="J518" t="s">
        <v>1022</v>
      </c>
      <c r="K518" t="s">
        <v>1024</v>
      </c>
      <c r="L518">
        <v>18</v>
      </c>
      <c r="M518">
        <v>23</v>
      </c>
      <c r="N518">
        <v>5300000</v>
      </c>
      <c r="O518">
        <f>PropertyData[[#This Row],[Price]]/PropertyData[[#This Row],[Area_sqft]]</f>
        <v>5190.9892262487756</v>
      </c>
      <c r="P518" t="str">
        <f t="shared" si="8"/>
        <v>Mid-Range</v>
      </c>
    </row>
    <row r="519" spans="1:16">
      <c r="A519" t="s">
        <v>531</v>
      </c>
      <c r="B519" t="s">
        <v>1015</v>
      </c>
      <c r="C519">
        <v>2362</v>
      </c>
      <c r="D519">
        <v>5</v>
      </c>
      <c r="E519">
        <v>5</v>
      </c>
      <c r="F519">
        <v>20</v>
      </c>
      <c r="G519" t="s">
        <v>1022</v>
      </c>
      <c r="H519" t="s">
        <v>1022</v>
      </c>
      <c r="I519" t="s">
        <v>1023</v>
      </c>
      <c r="J519" t="s">
        <v>1022</v>
      </c>
      <c r="K519" t="s">
        <v>1025</v>
      </c>
      <c r="L519">
        <v>10</v>
      </c>
      <c r="M519">
        <v>20</v>
      </c>
      <c r="N519">
        <v>9200000</v>
      </c>
      <c r="O519">
        <f>PropertyData[[#This Row],[Price]]/PropertyData[[#This Row],[Area_sqft]]</f>
        <v>3895.0042337002542</v>
      </c>
      <c r="P519" t="str">
        <f t="shared" si="8"/>
        <v>Mid-Range</v>
      </c>
    </row>
    <row r="520" spans="1:16">
      <c r="A520" t="s">
        <v>532</v>
      </c>
      <c r="B520" t="s">
        <v>1014</v>
      </c>
      <c r="C520">
        <v>1848</v>
      </c>
      <c r="D520">
        <v>4</v>
      </c>
      <c r="E520">
        <v>4</v>
      </c>
      <c r="F520">
        <v>27</v>
      </c>
      <c r="G520" t="s">
        <v>1022</v>
      </c>
      <c r="H520" t="s">
        <v>1022</v>
      </c>
      <c r="I520" t="s">
        <v>1023</v>
      </c>
      <c r="J520" t="s">
        <v>1022</v>
      </c>
      <c r="K520" t="s">
        <v>1025</v>
      </c>
      <c r="L520">
        <v>18</v>
      </c>
      <c r="M520">
        <v>18</v>
      </c>
      <c r="N520">
        <v>11450000</v>
      </c>
      <c r="O520">
        <f>PropertyData[[#This Row],[Price]]/PropertyData[[#This Row],[Area_sqft]]</f>
        <v>6195.8874458874461</v>
      </c>
      <c r="P520" t="str">
        <f t="shared" si="8"/>
        <v>Premium</v>
      </c>
    </row>
    <row r="521" spans="1:16">
      <c r="A521" t="s">
        <v>533</v>
      </c>
      <c r="B521" t="s">
        <v>1018</v>
      </c>
      <c r="C521">
        <v>467</v>
      </c>
      <c r="D521">
        <v>1</v>
      </c>
      <c r="E521">
        <v>1</v>
      </c>
      <c r="F521">
        <v>14</v>
      </c>
      <c r="G521" t="s">
        <v>1022</v>
      </c>
      <c r="H521" t="s">
        <v>1022</v>
      </c>
      <c r="I521" t="s">
        <v>1022</v>
      </c>
      <c r="J521" t="s">
        <v>1023</v>
      </c>
      <c r="K521" t="s">
        <v>1024</v>
      </c>
      <c r="L521">
        <v>12</v>
      </c>
      <c r="M521">
        <v>12</v>
      </c>
      <c r="N521">
        <v>2950000</v>
      </c>
      <c r="O521">
        <f>PropertyData[[#This Row],[Price]]/PropertyData[[#This Row],[Area_sqft]]</f>
        <v>6316.9164882226978</v>
      </c>
      <c r="P521" t="str">
        <f t="shared" si="8"/>
        <v>Budget</v>
      </c>
    </row>
    <row r="522" spans="1:16">
      <c r="A522" t="s">
        <v>534</v>
      </c>
      <c r="B522" t="s">
        <v>1018</v>
      </c>
      <c r="C522">
        <v>1130</v>
      </c>
      <c r="D522">
        <v>2</v>
      </c>
      <c r="E522">
        <v>2</v>
      </c>
      <c r="F522">
        <v>23</v>
      </c>
      <c r="G522" t="s">
        <v>1022</v>
      </c>
      <c r="H522" t="s">
        <v>1023</v>
      </c>
      <c r="I522" t="s">
        <v>1022</v>
      </c>
      <c r="J522" t="s">
        <v>1022</v>
      </c>
      <c r="K522" t="s">
        <v>1024</v>
      </c>
      <c r="L522">
        <v>1</v>
      </c>
      <c r="M522">
        <v>19</v>
      </c>
      <c r="N522">
        <v>5650000</v>
      </c>
      <c r="O522">
        <f>PropertyData[[#This Row],[Price]]/PropertyData[[#This Row],[Area_sqft]]</f>
        <v>5000</v>
      </c>
      <c r="P522" t="str">
        <f t="shared" si="8"/>
        <v>Mid-Range</v>
      </c>
    </row>
    <row r="523" spans="1:16">
      <c r="A523" t="s">
        <v>535</v>
      </c>
      <c r="B523" t="s">
        <v>1016</v>
      </c>
      <c r="C523">
        <v>1441</v>
      </c>
      <c r="D523">
        <v>4</v>
      </c>
      <c r="E523">
        <v>4</v>
      </c>
      <c r="F523">
        <v>19</v>
      </c>
      <c r="G523" t="s">
        <v>1023</v>
      </c>
      <c r="H523" t="s">
        <v>1022</v>
      </c>
      <c r="I523" t="s">
        <v>1023</v>
      </c>
      <c r="J523" t="s">
        <v>1022</v>
      </c>
      <c r="K523" t="s">
        <v>1025</v>
      </c>
      <c r="L523">
        <v>8</v>
      </c>
      <c r="M523">
        <v>17</v>
      </c>
      <c r="N523">
        <v>6100000</v>
      </c>
      <c r="O523">
        <f>PropertyData[[#This Row],[Price]]/PropertyData[[#This Row],[Area_sqft]]</f>
        <v>4233.1714087439277</v>
      </c>
      <c r="P523" t="str">
        <f t="shared" si="8"/>
        <v>Mid-Range</v>
      </c>
    </row>
    <row r="524" spans="1:16">
      <c r="A524" t="s">
        <v>536</v>
      </c>
      <c r="B524" t="s">
        <v>1015</v>
      </c>
      <c r="C524">
        <v>1077</v>
      </c>
      <c r="D524">
        <v>2</v>
      </c>
      <c r="E524">
        <v>2</v>
      </c>
      <c r="F524">
        <v>30</v>
      </c>
      <c r="G524" t="s">
        <v>1022</v>
      </c>
      <c r="H524" t="s">
        <v>1022</v>
      </c>
      <c r="I524" t="s">
        <v>1023</v>
      </c>
      <c r="J524" t="s">
        <v>1022</v>
      </c>
      <c r="K524" t="s">
        <v>1025</v>
      </c>
      <c r="L524">
        <v>7</v>
      </c>
      <c r="M524">
        <v>13</v>
      </c>
      <c r="N524">
        <v>2750000</v>
      </c>
      <c r="O524">
        <f>PropertyData[[#This Row],[Price]]/PropertyData[[#This Row],[Area_sqft]]</f>
        <v>2553.3890436397401</v>
      </c>
      <c r="P524" t="str">
        <f t="shared" si="8"/>
        <v>Budget</v>
      </c>
    </row>
    <row r="525" spans="1:16">
      <c r="A525" t="s">
        <v>537</v>
      </c>
      <c r="B525" t="s">
        <v>1016</v>
      </c>
      <c r="C525">
        <v>1013</v>
      </c>
      <c r="D525">
        <v>2</v>
      </c>
      <c r="E525">
        <v>2</v>
      </c>
      <c r="F525">
        <v>24</v>
      </c>
      <c r="G525" t="s">
        <v>1022</v>
      </c>
      <c r="H525" t="s">
        <v>1023</v>
      </c>
      <c r="I525" t="s">
        <v>1023</v>
      </c>
      <c r="J525" t="s">
        <v>1022</v>
      </c>
      <c r="K525" t="s">
        <v>1025</v>
      </c>
      <c r="L525">
        <v>10</v>
      </c>
      <c r="M525">
        <v>19</v>
      </c>
      <c r="N525">
        <v>3800000</v>
      </c>
      <c r="O525">
        <f>PropertyData[[#This Row],[Price]]/PropertyData[[#This Row],[Area_sqft]]</f>
        <v>3751.2339585389932</v>
      </c>
      <c r="P525" t="str">
        <f t="shared" si="8"/>
        <v>Budget</v>
      </c>
    </row>
    <row r="526" spans="1:16">
      <c r="A526" t="s">
        <v>538</v>
      </c>
      <c r="B526" t="s">
        <v>1016</v>
      </c>
      <c r="C526">
        <v>1338</v>
      </c>
      <c r="D526">
        <v>2</v>
      </c>
      <c r="E526">
        <v>2</v>
      </c>
      <c r="F526">
        <v>6</v>
      </c>
      <c r="G526" t="s">
        <v>1022</v>
      </c>
      <c r="H526" t="s">
        <v>1022</v>
      </c>
      <c r="I526" t="s">
        <v>1023</v>
      </c>
      <c r="J526" t="s">
        <v>1022</v>
      </c>
      <c r="K526" t="s">
        <v>1025</v>
      </c>
      <c r="L526">
        <v>18</v>
      </c>
      <c r="M526">
        <v>18</v>
      </c>
      <c r="N526">
        <v>6050000</v>
      </c>
      <c r="O526">
        <f>PropertyData[[#This Row],[Price]]/PropertyData[[#This Row],[Area_sqft]]</f>
        <v>4521.6741405082212</v>
      </c>
      <c r="P526" t="str">
        <f t="shared" si="8"/>
        <v>Mid-Range</v>
      </c>
    </row>
    <row r="527" spans="1:16">
      <c r="A527" t="s">
        <v>539</v>
      </c>
      <c r="B527" t="s">
        <v>1018</v>
      </c>
      <c r="C527">
        <v>972</v>
      </c>
      <c r="D527">
        <v>1</v>
      </c>
      <c r="E527">
        <v>1</v>
      </c>
      <c r="F527">
        <v>14</v>
      </c>
      <c r="G527" t="s">
        <v>1022</v>
      </c>
      <c r="H527" t="s">
        <v>1022</v>
      </c>
      <c r="I527" t="s">
        <v>1023</v>
      </c>
      <c r="J527" t="s">
        <v>1022</v>
      </c>
      <c r="K527" t="s">
        <v>1025</v>
      </c>
      <c r="L527">
        <v>15</v>
      </c>
      <c r="M527">
        <v>15</v>
      </c>
      <c r="N527">
        <v>4950000</v>
      </c>
      <c r="O527">
        <f>PropertyData[[#This Row],[Price]]/PropertyData[[#This Row],[Area_sqft]]</f>
        <v>5092.5925925925922</v>
      </c>
      <c r="P527" t="str">
        <f t="shared" si="8"/>
        <v>Budget</v>
      </c>
    </row>
    <row r="528" spans="1:16">
      <c r="A528" t="s">
        <v>540</v>
      </c>
      <c r="B528" t="s">
        <v>1018</v>
      </c>
      <c r="C528">
        <v>1719</v>
      </c>
      <c r="D528">
        <v>4</v>
      </c>
      <c r="E528">
        <v>4</v>
      </c>
      <c r="F528">
        <v>15</v>
      </c>
      <c r="G528" t="s">
        <v>1022</v>
      </c>
      <c r="H528" t="s">
        <v>1023</v>
      </c>
      <c r="I528" t="s">
        <v>1022</v>
      </c>
      <c r="J528" t="s">
        <v>1022</v>
      </c>
      <c r="K528" t="s">
        <v>1025</v>
      </c>
      <c r="L528">
        <v>2</v>
      </c>
      <c r="M528">
        <v>10</v>
      </c>
      <c r="N528">
        <v>7900000</v>
      </c>
      <c r="O528">
        <f>PropertyData[[#This Row],[Price]]/PropertyData[[#This Row],[Area_sqft]]</f>
        <v>4595.6951716114017</v>
      </c>
      <c r="P528" t="str">
        <f t="shared" si="8"/>
        <v>Mid-Range</v>
      </c>
    </row>
    <row r="529" spans="1:16">
      <c r="A529" t="s">
        <v>541</v>
      </c>
      <c r="B529" t="s">
        <v>1014</v>
      </c>
      <c r="C529">
        <v>1601</v>
      </c>
      <c r="D529">
        <v>3</v>
      </c>
      <c r="E529">
        <v>3</v>
      </c>
      <c r="F529">
        <v>5</v>
      </c>
      <c r="G529" t="s">
        <v>1022</v>
      </c>
      <c r="H529" t="s">
        <v>1023</v>
      </c>
      <c r="I529" t="s">
        <v>1023</v>
      </c>
      <c r="J529" t="s">
        <v>1022</v>
      </c>
      <c r="K529" t="s">
        <v>1025</v>
      </c>
      <c r="L529">
        <v>11</v>
      </c>
      <c r="M529">
        <v>14</v>
      </c>
      <c r="N529">
        <v>12850000</v>
      </c>
      <c r="O529">
        <f>PropertyData[[#This Row],[Price]]/PropertyData[[#This Row],[Area_sqft]]</f>
        <v>8026.2336039975016</v>
      </c>
      <c r="P529" t="str">
        <f t="shared" si="8"/>
        <v>Premium</v>
      </c>
    </row>
    <row r="530" spans="1:16">
      <c r="A530" t="s">
        <v>542</v>
      </c>
      <c r="B530" t="s">
        <v>1020</v>
      </c>
      <c r="C530">
        <v>1136</v>
      </c>
      <c r="D530">
        <v>2</v>
      </c>
      <c r="E530">
        <v>1</v>
      </c>
      <c r="F530">
        <v>1</v>
      </c>
      <c r="G530" t="s">
        <v>1022</v>
      </c>
      <c r="H530" t="s">
        <v>1023</v>
      </c>
      <c r="I530" t="s">
        <v>1023</v>
      </c>
      <c r="J530" t="s">
        <v>1022</v>
      </c>
      <c r="K530" t="s">
        <v>1025</v>
      </c>
      <c r="L530">
        <v>20</v>
      </c>
      <c r="M530">
        <v>21</v>
      </c>
      <c r="N530">
        <v>7750000</v>
      </c>
      <c r="O530">
        <f>PropertyData[[#This Row],[Price]]/PropertyData[[#This Row],[Area_sqft]]</f>
        <v>6822.1830985915494</v>
      </c>
      <c r="P530" t="str">
        <f t="shared" si="8"/>
        <v>Mid-Range</v>
      </c>
    </row>
    <row r="531" spans="1:16">
      <c r="A531" t="s">
        <v>543</v>
      </c>
      <c r="B531" t="s">
        <v>1020</v>
      </c>
      <c r="C531">
        <v>1536</v>
      </c>
      <c r="D531">
        <v>3</v>
      </c>
      <c r="E531">
        <v>3</v>
      </c>
      <c r="F531">
        <v>7</v>
      </c>
      <c r="G531" t="s">
        <v>1022</v>
      </c>
      <c r="H531" t="s">
        <v>1023</v>
      </c>
      <c r="I531" t="s">
        <v>1022</v>
      </c>
      <c r="J531" t="s">
        <v>1022</v>
      </c>
      <c r="K531" t="s">
        <v>1025</v>
      </c>
      <c r="L531">
        <v>5</v>
      </c>
      <c r="M531">
        <v>12</v>
      </c>
      <c r="N531">
        <v>10050000</v>
      </c>
      <c r="O531">
        <f>PropertyData[[#This Row],[Price]]/PropertyData[[#This Row],[Area_sqft]]</f>
        <v>6542.96875</v>
      </c>
      <c r="P531" t="str">
        <f t="shared" si="8"/>
        <v>Premium</v>
      </c>
    </row>
    <row r="532" spans="1:16">
      <c r="A532" t="s">
        <v>544</v>
      </c>
      <c r="B532" t="s">
        <v>1019</v>
      </c>
      <c r="C532">
        <v>1342</v>
      </c>
      <c r="D532">
        <v>3</v>
      </c>
      <c r="E532">
        <v>2</v>
      </c>
      <c r="F532">
        <v>21</v>
      </c>
      <c r="G532" t="s">
        <v>1022</v>
      </c>
      <c r="H532" t="s">
        <v>1022</v>
      </c>
      <c r="I532" t="s">
        <v>1023</v>
      </c>
      <c r="J532" t="s">
        <v>1022</v>
      </c>
      <c r="K532" t="s">
        <v>1025</v>
      </c>
      <c r="L532">
        <v>5</v>
      </c>
      <c r="M532">
        <v>14</v>
      </c>
      <c r="N532">
        <v>10500000</v>
      </c>
      <c r="O532">
        <f>PropertyData[[#This Row],[Price]]/PropertyData[[#This Row],[Area_sqft]]</f>
        <v>7824.143070044709</v>
      </c>
      <c r="P532" t="str">
        <f t="shared" si="8"/>
        <v>Premium</v>
      </c>
    </row>
    <row r="533" spans="1:16">
      <c r="A533" t="s">
        <v>545</v>
      </c>
      <c r="B533" t="s">
        <v>1015</v>
      </c>
      <c r="C533">
        <v>1325</v>
      </c>
      <c r="D533">
        <v>3</v>
      </c>
      <c r="E533">
        <v>2</v>
      </c>
      <c r="F533">
        <v>7</v>
      </c>
      <c r="G533" t="s">
        <v>1022</v>
      </c>
      <c r="H533" t="s">
        <v>1023</v>
      </c>
      <c r="I533" t="s">
        <v>1023</v>
      </c>
      <c r="J533" t="s">
        <v>1022</v>
      </c>
      <c r="K533" t="s">
        <v>1024</v>
      </c>
      <c r="L533">
        <v>17</v>
      </c>
      <c r="M533">
        <v>17</v>
      </c>
      <c r="N533">
        <v>4750000</v>
      </c>
      <c r="O533">
        <f>PropertyData[[#This Row],[Price]]/PropertyData[[#This Row],[Area_sqft]]</f>
        <v>3584.9056603773583</v>
      </c>
      <c r="P533" t="str">
        <f t="shared" si="8"/>
        <v>Budget</v>
      </c>
    </row>
    <row r="534" spans="1:16">
      <c r="A534" t="s">
        <v>546</v>
      </c>
      <c r="B534" t="s">
        <v>1020</v>
      </c>
      <c r="C534">
        <v>1495</v>
      </c>
      <c r="D534">
        <v>3</v>
      </c>
      <c r="E534">
        <v>4</v>
      </c>
      <c r="F534">
        <v>7</v>
      </c>
      <c r="G534" t="s">
        <v>1022</v>
      </c>
      <c r="H534" t="s">
        <v>1023</v>
      </c>
      <c r="I534" t="s">
        <v>1023</v>
      </c>
      <c r="J534" t="s">
        <v>1022</v>
      </c>
      <c r="K534" t="s">
        <v>1024</v>
      </c>
      <c r="L534">
        <v>3</v>
      </c>
      <c r="M534">
        <v>15</v>
      </c>
      <c r="N534">
        <v>10150000</v>
      </c>
      <c r="O534">
        <f>PropertyData[[#This Row],[Price]]/PropertyData[[#This Row],[Area_sqft]]</f>
        <v>6789.2976588628762</v>
      </c>
      <c r="P534" t="str">
        <f t="shared" si="8"/>
        <v>Premium</v>
      </c>
    </row>
    <row r="535" spans="1:16">
      <c r="A535" t="s">
        <v>547</v>
      </c>
      <c r="B535" t="s">
        <v>1016</v>
      </c>
      <c r="C535">
        <v>1785</v>
      </c>
      <c r="D535">
        <v>4</v>
      </c>
      <c r="E535">
        <v>4</v>
      </c>
      <c r="F535">
        <v>28</v>
      </c>
      <c r="G535" t="s">
        <v>1023</v>
      </c>
      <c r="H535" t="s">
        <v>1023</v>
      </c>
      <c r="I535" t="s">
        <v>1023</v>
      </c>
      <c r="J535" t="s">
        <v>1022</v>
      </c>
      <c r="K535" t="s">
        <v>1024</v>
      </c>
      <c r="L535">
        <v>12</v>
      </c>
      <c r="M535">
        <v>18</v>
      </c>
      <c r="N535">
        <v>7300000</v>
      </c>
      <c r="O535">
        <f>PropertyData[[#This Row],[Price]]/PropertyData[[#This Row],[Area_sqft]]</f>
        <v>4089.6358543417368</v>
      </c>
      <c r="P535" t="str">
        <f t="shared" si="8"/>
        <v>Mid-Range</v>
      </c>
    </row>
    <row r="536" spans="1:16">
      <c r="A536" t="s">
        <v>548</v>
      </c>
      <c r="B536" t="s">
        <v>1018</v>
      </c>
      <c r="C536">
        <v>971</v>
      </c>
      <c r="D536">
        <v>3</v>
      </c>
      <c r="E536">
        <v>3</v>
      </c>
      <c r="F536">
        <v>12</v>
      </c>
      <c r="G536" t="s">
        <v>1022</v>
      </c>
      <c r="H536" t="s">
        <v>1022</v>
      </c>
      <c r="I536" t="s">
        <v>1023</v>
      </c>
      <c r="J536" t="s">
        <v>1023</v>
      </c>
      <c r="K536" t="s">
        <v>1025</v>
      </c>
      <c r="L536">
        <v>2</v>
      </c>
      <c r="M536">
        <v>14</v>
      </c>
      <c r="N536">
        <v>5650000</v>
      </c>
      <c r="O536">
        <f>PropertyData[[#This Row],[Price]]/PropertyData[[#This Row],[Area_sqft]]</f>
        <v>5818.7435633367659</v>
      </c>
      <c r="P536" t="str">
        <f t="shared" si="8"/>
        <v>Mid-Range</v>
      </c>
    </row>
    <row r="537" spans="1:16">
      <c r="A537" t="s">
        <v>549</v>
      </c>
      <c r="B537" t="s">
        <v>1014</v>
      </c>
      <c r="C537">
        <v>1361</v>
      </c>
      <c r="D537">
        <v>3</v>
      </c>
      <c r="E537">
        <v>3</v>
      </c>
      <c r="F537">
        <v>0</v>
      </c>
      <c r="G537" t="s">
        <v>1023</v>
      </c>
      <c r="H537" t="s">
        <v>1023</v>
      </c>
      <c r="I537" t="s">
        <v>1023</v>
      </c>
      <c r="J537" t="s">
        <v>1023</v>
      </c>
      <c r="K537" t="s">
        <v>1025</v>
      </c>
      <c r="L537">
        <v>16</v>
      </c>
      <c r="M537">
        <v>24</v>
      </c>
      <c r="N537">
        <v>11300000</v>
      </c>
      <c r="O537">
        <f>PropertyData[[#This Row],[Price]]/PropertyData[[#This Row],[Area_sqft]]</f>
        <v>8302.7185892725938</v>
      </c>
      <c r="P537" t="str">
        <f t="shared" si="8"/>
        <v>Premium</v>
      </c>
    </row>
    <row r="538" spans="1:16">
      <c r="A538" t="s">
        <v>550</v>
      </c>
      <c r="B538" t="s">
        <v>1017</v>
      </c>
      <c r="C538">
        <v>1478</v>
      </c>
      <c r="D538">
        <v>3</v>
      </c>
      <c r="E538">
        <v>4</v>
      </c>
      <c r="F538">
        <v>24</v>
      </c>
      <c r="G538" t="s">
        <v>1022</v>
      </c>
      <c r="H538" t="s">
        <v>1023</v>
      </c>
      <c r="I538" t="s">
        <v>1023</v>
      </c>
      <c r="J538" t="s">
        <v>1022</v>
      </c>
      <c r="K538" t="s">
        <v>1024</v>
      </c>
      <c r="L538">
        <v>13</v>
      </c>
      <c r="M538">
        <v>19</v>
      </c>
      <c r="N538">
        <v>6200000</v>
      </c>
      <c r="O538">
        <f>PropertyData[[#This Row],[Price]]/PropertyData[[#This Row],[Area_sqft]]</f>
        <v>4194.857916102842</v>
      </c>
      <c r="P538" t="str">
        <f t="shared" si="8"/>
        <v>Mid-Range</v>
      </c>
    </row>
    <row r="539" spans="1:16">
      <c r="A539" t="s">
        <v>551</v>
      </c>
      <c r="B539" t="s">
        <v>1017</v>
      </c>
      <c r="C539">
        <v>1196</v>
      </c>
      <c r="D539">
        <v>2</v>
      </c>
      <c r="E539">
        <v>1</v>
      </c>
      <c r="F539">
        <v>16</v>
      </c>
      <c r="G539" t="s">
        <v>1023</v>
      </c>
      <c r="H539" t="s">
        <v>1022</v>
      </c>
      <c r="I539" t="s">
        <v>1023</v>
      </c>
      <c r="J539" t="s">
        <v>1022</v>
      </c>
      <c r="K539" t="s">
        <v>1024</v>
      </c>
      <c r="L539">
        <v>10</v>
      </c>
      <c r="M539">
        <v>22</v>
      </c>
      <c r="N539">
        <v>5100000</v>
      </c>
      <c r="O539">
        <f>PropertyData[[#This Row],[Price]]/PropertyData[[#This Row],[Area_sqft]]</f>
        <v>4264.2140468227426</v>
      </c>
      <c r="P539" t="str">
        <f t="shared" si="8"/>
        <v>Mid-Range</v>
      </c>
    </row>
    <row r="540" spans="1:16">
      <c r="A540" t="s">
        <v>552</v>
      </c>
      <c r="B540" t="s">
        <v>1020</v>
      </c>
      <c r="C540">
        <v>1291</v>
      </c>
      <c r="D540">
        <v>3</v>
      </c>
      <c r="E540">
        <v>3</v>
      </c>
      <c r="F540">
        <v>5</v>
      </c>
      <c r="G540" t="s">
        <v>1022</v>
      </c>
      <c r="H540" t="s">
        <v>1022</v>
      </c>
      <c r="I540" t="s">
        <v>1023</v>
      </c>
      <c r="J540" t="s">
        <v>1022</v>
      </c>
      <c r="K540" t="s">
        <v>1025</v>
      </c>
      <c r="L540">
        <v>12</v>
      </c>
      <c r="M540">
        <v>18</v>
      </c>
      <c r="N540">
        <v>9450000</v>
      </c>
      <c r="O540">
        <f>PropertyData[[#This Row],[Price]]/PropertyData[[#This Row],[Area_sqft]]</f>
        <v>7319.9070487993804</v>
      </c>
      <c r="P540" t="str">
        <f t="shared" si="8"/>
        <v>Mid-Range</v>
      </c>
    </row>
    <row r="541" spans="1:16">
      <c r="A541" t="s">
        <v>553</v>
      </c>
      <c r="B541" t="s">
        <v>1020</v>
      </c>
      <c r="C541">
        <v>1183</v>
      </c>
      <c r="D541">
        <v>2</v>
      </c>
      <c r="E541">
        <v>2</v>
      </c>
      <c r="F541">
        <v>14</v>
      </c>
      <c r="G541" t="s">
        <v>1022</v>
      </c>
      <c r="H541" t="s">
        <v>1023</v>
      </c>
      <c r="I541" t="s">
        <v>1023</v>
      </c>
      <c r="J541" t="s">
        <v>1022</v>
      </c>
      <c r="K541" t="s">
        <v>1025</v>
      </c>
      <c r="L541">
        <v>6</v>
      </c>
      <c r="M541">
        <v>10</v>
      </c>
      <c r="N541">
        <v>7750000</v>
      </c>
      <c r="O541">
        <f>PropertyData[[#This Row],[Price]]/PropertyData[[#This Row],[Area_sqft]]</f>
        <v>6551.141166525782</v>
      </c>
      <c r="P541" t="str">
        <f t="shared" si="8"/>
        <v>Mid-Range</v>
      </c>
    </row>
    <row r="542" spans="1:16">
      <c r="A542" t="s">
        <v>554</v>
      </c>
      <c r="B542" t="s">
        <v>1019</v>
      </c>
      <c r="C542">
        <v>1452</v>
      </c>
      <c r="D542">
        <v>3</v>
      </c>
      <c r="E542">
        <v>3</v>
      </c>
      <c r="F542">
        <v>9</v>
      </c>
      <c r="G542" t="s">
        <v>1023</v>
      </c>
      <c r="H542" t="s">
        <v>1022</v>
      </c>
      <c r="I542" t="s">
        <v>1023</v>
      </c>
      <c r="J542" t="s">
        <v>1022</v>
      </c>
      <c r="K542" t="s">
        <v>1025</v>
      </c>
      <c r="L542">
        <v>5</v>
      </c>
      <c r="M542">
        <v>13</v>
      </c>
      <c r="N542">
        <v>10700000</v>
      </c>
      <c r="O542">
        <f>PropertyData[[#This Row],[Price]]/PropertyData[[#This Row],[Area_sqft]]</f>
        <v>7369.1460055096422</v>
      </c>
      <c r="P542" t="str">
        <f t="shared" si="8"/>
        <v>Premium</v>
      </c>
    </row>
    <row r="543" spans="1:16">
      <c r="A543" t="s">
        <v>555</v>
      </c>
      <c r="B543" t="s">
        <v>1019</v>
      </c>
      <c r="C543">
        <v>1151</v>
      </c>
      <c r="D543">
        <v>3</v>
      </c>
      <c r="E543">
        <v>3</v>
      </c>
      <c r="F543">
        <v>4</v>
      </c>
      <c r="G543" t="s">
        <v>1022</v>
      </c>
      <c r="H543" t="s">
        <v>1023</v>
      </c>
      <c r="I543" t="s">
        <v>1023</v>
      </c>
      <c r="J543" t="s">
        <v>1022</v>
      </c>
      <c r="K543" t="s">
        <v>1025</v>
      </c>
      <c r="L543">
        <v>12</v>
      </c>
      <c r="M543">
        <v>13</v>
      </c>
      <c r="N543">
        <v>9800000</v>
      </c>
      <c r="O543">
        <f>PropertyData[[#This Row],[Price]]/PropertyData[[#This Row],[Area_sqft]]</f>
        <v>8514.3353605560387</v>
      </c>
      <c r="P543" t="str">
        <f t="shared" si="8"/>
        <v>Mid-Range</v>
      </c>
    </row>
    <row r="544" spans="1:16">
      <c r="A544" t="s">
        <v>556</v>
      </c>
      <c r="B544" t="s">
        <v>1019</v>
      </c>
      <c r="C544">
        <v>1182</v>
      </c>
      <c r="D544">
        <v>3</v>
      </c>
      <c r="E544">
        <v>2</v>
      </c>
      <c r="F544">
        <v>19</v>
      </c>
      <c r="G544" t="s">
        <v>1022</v>
      </c>
      <c r="H544" t="s">
        <v>1022</v>
      </c>
      <c r="I544" t="s">
        <v>1023</v>
      </c>
      <c r="J544" t="s">
        <v>1023</v>
      </c>
      <c r="K544" t="s">
        <v>1026</v>
      </c>
      <c r="L544">
        <v>10</v>
      </c>
      <c r="M544">
        <v>12</v>
      </c>
      <c r="N544">
        <v>12250000</v>
      </c>
      <c r="O544">
        <f>PropertyData[[#This Row],[Price]]/PropertyData[[#This Row],[Area_sqft]]</f>
        <v>10363.790186125212</v>
      </c>
      <c r="P544" t="str">
        <f t="shared" si="8"/>
        <v>Premium</v>
      </c>
    </row>
    <row r="545" spans="1:16">
      <c r="A545" t="s">
        <v>557</v>
      </c>
      <c r="B545" t="s">
        <v>1016</v>
      </c>
      <c r="C545">
        <v>1877</v>
      </c>
      <c r="D545">
        <v>4</v>
      </c>
      <c r="E545">
        <v>4</v>
      </c>
      <c r="F545">
        <v>9</v>
      </c>
      <c r="G545" t="s">
        <v>1022</v>
      </c>
      <c r="H545" t="s">
        <v>1023</v>
      </c>
      <c r="I545" t="s">
        <v>1023</v>
      </c>
      <c r="J545" t="s">
        <v>1022</v>
      </c>
      <c r="K545" t="s">
        <v>1024</v>
      </c>
      <c r="L545">
        <v>4</v>
      </c>
      <c r="M545">
        <v>8</v>
      </c>
      <c r="N545">
        <v>10450000</v>
      </c>
      <c r="O545">
        <f>PropertyData[[#This Row],[Price]]/PropertyData[[#This Row],[Area_sqft]]</f>
        <v>5567.3947789025042</v>
      </c>
      <c r="P545" t="str">
        <f t="shared" si="8"/>
        <v>Premium</v>
      </c>
    </row>
    <row r="546" spans="1:16">
      <c r="A546" t="s">
        <v>558</v>
      </c>
      <c r="B546" t="s">
        <v>1020</v>
      </c>
      <c r="C546">
        <v>1493</v>
      </c>
      <c r="D546">
        <v>3</v>
      </c>
      <c r="E546">
        <v>4</v>
      </c>
      <c r="F546">
        <v>20</v>
      </c>
      <c r="G546" t="s">
        <v>1022</v>
      </c>
      <c r="H546" t="s">
        <v>1022</v>
      </c>
      <c r="I546" t="s">
        <v>1022</v>
      </c>
      <c r="J546" t="s">
        <v>1022</v>
      </c>
      <c r="K546" t="s">
        <v>1025</v>
      </c>
      <c r="L546">
        <v>18</v>
      </c>
      <c r="M546">
        <v>21</v>
      </c>
      <c r="N546">
        <v>10650000</v>
      </c>
      <c r="O546">
        <f>PropertyData[[#This Row],[Price]]/PropertyData[[#This Row],[Area_sqft]]</f>
        <v>7133.288680509042</v>
      </c>
      <c r="P546" t="str">
        <f t="shared" si="8"/>
        <v>Premium</v>
      </c>
    </row>
    <row r="547" spans="1:16">
      <c r="A547" t="s">
        <v>559</v>
      </c>
      <c r="B547" t="s">
        <v>1018</v>
      </c>
      <c r="C547">
        <v>765</v>
      </c>
      <c r="D547">
        <v>2</v>
      </c>
      <c r="E547">
        <v>1</v>
      </c>
      <c r="F547">
        <v>13</v>
      </c>
      <c r="G547" t="s">
        <v>1022</v>
      </c>
      <c r="H547" t="s">
        <v>1022</v>
      </c>
      <c r="I547" t="s">
        <v>1023</v>
      </c>
      <c r="J547" t="s">
        <v>1023</v>
      </c>
      <c r="K547" t="s">
        <v>1024</v>
      </c>
      <c r="L547">
        <v>7</v>
      </c>
      <c r="M547">
        <v>16</v>
      </c>
      <c r="N547">
        <v>4550000</v>
      </c>
      <c r="O547">
        <f>PropertyData[[#This Row],[Price]]/PropertyData[[#This Row],[Area_sqft]]</f>
        <v>5947.7124183006536</v>
      </c>
      <c r="P547" t="str">
        <f t="shared" si="8"/>
        <v>Budget</v>
      </c>
    </row>
    <row r="548" spans="1:16">
      <c r="A548" t="s">
        <v>560</v>
      </c>
      <c r="B548" t="s">
        <v>1020</v>
      </c>
      <c r="C548">
        <v>1120</v>
      </c>
      <c r="D548">
        <v>3</v>
      </c>
      <c r="E548">
        <v>3</v>
      </c>
      <c r="F548">
        <v>27</v>
      </c>
      <c r="G548" t="s">
        <v>1023</v>
      </c>
      <c r="H548" t="s">
        <v>1023</v>
      </c>
      <c r="I548" t="s">
        <v>1023</v>
      </c>
      <c r="J548" t="s">
        <v>1022</v>
      </c>
      <c r="K548" t="s">
        <v>1026</v>
      </c>
      <c r="L548">
        <v>16</v>
      </c>
      <c r="M548">
        <v>16</v>
      </c>
      <c r="N548">
        <v>8500000</v>
      </c>
      <c r="O548">
        <f>PropertyData[[#This Row],[Price]]/PropertyData[[#This Row],[Area_sqft]]</f>
        <v>7589.2857142857147</v>
      </c>
      <c r="P548" t="str">
        <f t="shared" si="8"/>
        <v>Mid-Range</v>
      </c>
    </row>
    <row r="549" spans="1:16">
      <c r="A549" t="s">
        <v>561</v>
      </c>
      <c r="B549" t="s">
        <v>1016</v>
      </c>
      <c r="C549">
        <v>1154</v>
      </c>
      <c r="D549">
        <v>2</v>
      </c>
      <c r="E549">
        <v>3</v>
      </c>
      <c r="F549">
        <v>1</v>
      </c>
      <c r="G549" t="s">
        <v>1022</v>
      </c>
      <c r="H549" t="s">
        <v>1022</v>
      </c>
      <c r="I549" t="s">
        <v>1023</v>
      </c>
      <c r="J549" t="s">
        <v>1022</v>
      </c>
      <c r="K549" t="s">
        <v>1025</v>
      </c>
      <c r="L549">
        <v>2</v>
      </c>
      <c r="M549">
        <v>17</v>
      </c>
      <c r="N549">
        <v>5750000</v>
      </c>
      <c r="O549">
        <f>PropertyData[[#This Row],[Price]]/PropertyData[[#This Row],[Area_sqft]]</f>
        <v>4982.6689774696706</v>
      </c>
      <c r="P549" t="str">
        <f t="shared" si="8"/>
        <v>Mid-Range</v>
      </c>
    </row>
    <row r="550" spans="1:16">
      <c r="A550" t="s">
        <v>562</v>
      </c>
      <c r="B550" t="s">
        <v>1014</v>
      </c>
      <c r="C550">
        <v>2089</v>
      </c>
      <c r="D550">
        <v>5</v>
      </c>
      <c r="E550">
        <v>5</v>
      </c>
      <c r="F550">
        <v>7</v>
      </c>
      <c r="G550" t="s">
        <v>1023</v>
      </c>
      <c r="H550" t="s">
        <v>1023</v>
      </c>
      <c r="I550" t="s">
        <v>1023</v>
      </c>
      <c r="J550" t="s">
        <v>1023</v>
      </c>
      <c r="K550" t="s">
        <v>1025</v>
      </c>
      <c r="L550">
        <v>7</v>
      </c>
      <c r="M550">
        <v>13</v>
      </c>
      <c r="N550">
        <v>14000000</v>
      </c>
      <c r="O550">
        <f>PropertyData[[#This Row],[Price]]/PropertyData[[#This Row],[Area_sqft]]</f>
        <v>6701.7711823839154</v>
      </c>
      <c r="P550" t="str">
        <f t="shared" si="8"/>
        <v>Premium</v>
      </c>
    </row>
    <row r="551" spans="1:16">
      <c r="A551" t="s">
        <v>563</v>
      </c>
      <c r="B551" t="s">
        <v>1021</v>
      </c>
      <c r="C551">
        <v>1530</v>
      </c>
      <c r="D551">
        <v>4</v>
      </c>
      <c r="E551">
        <v>4</v>
      </c>
      <c r="F551">
        <v>16</v>
      </c>
      <c r="G551" t="s">
        <v>1022</v>
      </c>
      <c r="H551" t="s">
        <v>1022</v>
      </c>
      <c r="I551" t="s">
        <v>1023</v>
      </c>
      <c r="J551" t="s">
        <v>1023</v>
      </c>
      <c r="K551" t="s">
        <v>1024</v>
      </c>
      <c r="L551">
        <v>1</v>
      </c>
      <c r="M551">
        <v>2</v>
      </c>
      <c r="N551">
        <v>10100000</v>
      </c>
      <c r="O551">
        <f>PropertyData[[#This Row],[Price]]/PropertyData[[#This Row],[Area_sqft]]</f>
        <v>6601.3071895424837</v>
      </c>
      <c r="P551" t="str">
        <f t="shared" si="8"/>
        <v>Premium</v>
      </c>
    </row>
    <row r="552" spans="1:16">
      <c r="A552" t="s">
        <v>564</v>
      </c>
      <c r="B552" t="s">
        <v>1021</v>
      </c>
      <c r="C552">
        <v>1399</v>
      </c>
      <c r="D552">
        <v>3</v>
      </c>
      <c r="E552">
        <v>3</v>
      </c>
      <c r="F552">
        <v>19</v>
      </c>
      <c r="G552" t="s">
        <v>1022</v>
      </c>
      <c r="H552" t="s">
        <v>1022</v>
      </c>
      <c r="I552" t="s">
        <v>1022</v>
      </c>
      <c r="J552" t="s">
        <v>1022</v>
      </c>
      <c r="K552" t="s">
        <v>1025</v>
      </c>
      <c r="L552">
        <v>17</v>
      </c>
      <c r="M552">
        <v>23</v>
      </c>
      <c r="N552">
        <v>7050000</v>
      </c>
      <c r="O552">
        <f>PropertyData[[#This Row],[Price]]/PropertyData[[#This Row],[Area_sqft]]</f>
        <v>5039.3137955682632</v>
      </c>
      <c r="P552" t="str">
        <f t="shared" si="8"/>
        <v>Mid-Range</v>
      </c>
    </row>
    <row r="553" spans="1:16">
      <c r="A553" t="s">
        <v>565</v>
      </c>
      <c r="B553" t="s">
        <v>1015</v>
      </c>
      <c r="C553">
        <v>2054</v>
      </c>
      <c r="D553">
        <v>4</v>
      </c>
      <c r="E553">
        <v>5</v>
      </c>
      <c r="F553">
        <v>1</v>
      </c>
      <c r="G553" t="s">
        <v>1022</v>
      </c>
      <c r="H553" t="s">
        <v>1022</v>
      </c>
      <c r="I553" t="s">
        <v>1023</v>
      </c>
      <c r="J553" t="s">
        <v>1022</v>
      </c>
      <c r="K553" t="s">
        <v>1024</v>
      </c>
      <c r="L553">
        <v>13</v>
      </c>
      <c r="M553">
        <v>18</v>
      </c>
      <c r="N553">
        <v>9950000</v>
      </c>
      <c r="O553">
        <f>PropertyData[[#This Row],[Price]]/PropertyData[[#This Row],[Area_sqft]]</f>
        <v>4844.2064264849078</v>
      </c>
      <c r="P553" t="str">
        <f t="shared" si="8"/>
        <v>Mid-Range</v>
      </c>
    </row>
    <row r="554" spans="1:16">
      <c r="A554" t="s">
        <v>566</v>
      </c>
      <c r="B554" t="s">
        <v>1017</v>
      </c>
      <c r="C554">
        <v>1123</v>
      </c>
      <c r="D554">
        <v>3</v>
      </c>
      <c r="E554">
        <v>3</v>
      </c>
      <c r="F554">
        <v>16</v>
      </c>
      <c r="G554" t="s">
        <v>1022</v>
      </c>
      <c r="H554" t="s">
        <v>1023</v>
      </c>
      <c r="I554" t="s">
        <v>1023</v>
      </c>
      <c r="J554" t="s">
        <v>1022</v>
      </c>
      <c r="K554" t="s">
        <v>1025</v>
      </c>
      <c r="L554">
        <v>8</v>
      </c>
      <c r="M554">
        <v>10</v>
      </c>
      <c r="N554">
        <v>3750000</v>
      </c>
      <c r="O554">
        <f>PropertyData[[#This Row],[Price]]/PropertyData[[#This Row],[Area_sqft]]</f>
        <v>3339.2698130008903</v>
      </c>
      <c r="P554" t="str">
        <f t="shared" si="8"/>
        <v>Budget</v>
      </c>
    </row>
    <row r="555" spans="1:16">
      <c r="A555" t="s">
        <v>567</v>
      </c>
      <c r="B555" t="s">
        <v>1020</v>
      </c>
      <c r="C555">
        <v>1230</v>
      </c>
      <c r="D555">
        <v>4</v>
      </c>
      <c r="E555">
        <v>4</v>
      </c>
      <c r="F555">
        <v>16</v>
      </c>
      <c r="G555" t="s">
        <v>1022</v>
      </c>
      <c r="H555" t="s">
        <v>1022</v>
      </c>
      <c r="I555" t="s">
        <v>1022</v>
      </c>
      <c r="J555" t="s">
        <v>1022</v>
      </c>
      <c r="K555" t="s">
        <v>1024</v>
      </c>
      <c r="L555">
        <v>14</v>
      </c>
      <c r="M555">
        <v>21</v>
      </c>
      <c r="N555">
        <v>9250000</v>
      </c>
      <c r="O555">
        <f>PropertyData[[#This Row],[Price]]/PropertyData[[#This Row],[Area_sqft]]</f>
        <v>7520.3252032520322</v>
      </c>
      <c r="P555" t="str">
        <f t="shared" si="8"/>
        <v>Mid-Range</v>
      </c>
    </row>
    <row r="556" spans="1:16">
      <c r="A556" t="s">
        <v>568</v>
      </c>
      <c r="B556" t="s">
        <v>1021</v>
      </c>
      <c r="C556">
        <v>1644</v>
      </c>
      <c r="D556">
        <v>4</v>
      </c>
      <c r="E556">
        <v>4</v>
      </c>
      <c r="F556">
        <v>27</v>
      </c>
      <c r="G556" t="s">
        <v>1023</v>
      </c>
      <c r="H556" t="s">
        <v>1023</v>
      </c>
      <c r="I556" t="s">
        <v>1023</v>
      </c>
      <c r="J556" t="s">
        <v>1022</v>
      </c>
      <c r="K556" t="s">
        <v>1025</v>
      </c>
      <c r="L556">
        <v>20</v>
      </c>
      <c r="M556">
        <v>22</v>
      </c>
      <c r="N556">
        <v>7700000</v>
      </c>
      <c r="O556">
        <f>PropertyData[[#This Row],[Price]]/PropertyData[[#This Row],[Area_sqft]]</f>
        <v>4683.698296836983</v>
      </c>
      <c r="P556" t="str">
        <f t="shared" si="8"/>
        <v>Mid-Range</v>
      </c>
    </row>
    <row r="557" spans="1:16">
      <c r="A557" t="s">
        <v>569</v>
      </c>
      <c r="B557" t="s">
        <v>1020</v>
      </c>
      <c r="C557">
        <v>936</v>
      </c>
      <c r="D557">
        <v>2</v>
      </c>
      <c r="E557">
        <v>2</v>
      </c>
      <c r="F557">
        <v>26</v>
      </c>
      <c r="G557" t="s">
        <v>1023</v>
      </c>
      <c r="H557" t="s">
        <v>1022</v>
      </c>
      <c r="I557" t="s">
        <v>1022</v>
      </c>
      <c r="J557" t="s">
        <v>1022</v>
      </c>
      <c r="K557" t="s">
        <v>1025</v>
      </c>
      <c r="L557">
        <v>9</v>
      </c>
      <c r="M557">
        <v>16</v>
      </c>
      <c r="N557">
        <v>5750000</v>
      </c>
      <c r="O557">
        <f>PropertyData[[#This Row],[Price]]/PropertyData[[#This Row],[Area_sqft]]</f>
        <v>6143.1623931623935</v>
      </c>
      <c r="P557" t="str">
        <f t="shared" si="8"/>
        <v>Mid-Range</v>
      </c>
    </row>
    <row r="558" spans="1:16">
      <c r="A558" t="s">
        <v>570</v>
      </c>
      <c r="B558" t="s">
        <v>1020</v>
      </c>
      <c r="C558">
        <v>1393</v>
      </c>
      <c r="D558">
        <v>3</v>
      </c>
      <c r="E558">
        <v>3</v>
      </c>
      <c r="F558">
        <v>5</v>
      </c>
      <c r="G558" t="s">
        <v>1022</v>
      </c>
      <c r="H558" t="s">
        <v>1022</v>
      </c>
      <c r="I558" t="s">
        <v>1023</v>
      </c>
      <c r="J558" t="s">
        <v>1022</v>
      </c>
      <c r="K558" t="s">
        <v>1025</v>
      </c>
      <c r="L558">
        <v>12</v>
      </c>
      <c r="M558">
        <v>17</v>
      </c>
      <c r="N558">
        <v>8150000</v>
      </c>
      <c r="O558">
        <f>PropertyData[[#This Row],[Price]]/PropertyData[[#This Row],[Area_sqft]]</f>
        <v>5850.6819813352477</v>
      </c>
      <c r="P558" t="str">
        <f t="shared" si="8"/>
        <v>Mid-Range</v>
      </c>
    </row>
    <row r="559" spans="1:16">
      <c r="A559" t="s">
        <v>571</v>
      </c>
      <c r="B559" t="s">
        <v>1021</v>
      </c>
      <c r="C559">
        <v>1386</v>
      </c>
      <c r="D559">
        <v>3</v>
      </c>
      <c r="E559">
        <v>3</v>
      </c>
      <c r="F559">
        <v>12</v>
      </c>
      <c r="G559" t="s">
        <v>1022</v>
      </c>
      <c r="H559" t="s">
        <v>1023</v>
      </c>
      <c r="I559" t="s">
        <v>1023</v>
      </c>
      <c r="J559" t="s">
        <v>1023</v>
      </c>
      <c r="K559" t="s">
        <v>1025</v>
      </c>
      <c r="L559">
        <v>9</v>
      </c>
      <c r="M559">
        <v>18</v>
      </c>
      <c r="N559">
        <v>8650000</v>
      </c>
      <c r="O559">
        <f>PropertyData[[#This Row],[Price]]/PropertyData[[#This Row],[Area_sqft]]</f>
        <v>6240.9812409812412</v>
      </c>
      <c r="P559" t="str">
        <f t="shared" si="8"/>
        <v>Mid-Range</v>
      </c>
    </row>
    <row r="560" spans="1:16">
      <c r="A560" t="s">
        <v>572</v>
      </c>
      <c r="B560" t="s">
        <v>1016</v>
      </c>
      <c r="C560">
        <v>1224</v>
      </c>
      <c r="D560">
        <v>2</v>
      </c>
      <c r="E560">
        <v>2</v>
      </c>
      <c r="F560">
        <v>30</v>
      </c>
      <c r="G560" t="s">
        <v>1022</v>
      </c>
      <c r="H560" t="s">
        <v>1022</v>
      </c>
      <c r="I560" t="s">
        <v>1023</v>
      </c>
      <c r="J560" t="s">
        <v>1022</v>
      </c>
      <c r="K560" t="s">
        <v>1024</v>
      </c>
      <c r="L560">
        <v>18</v>
      </c>
      <c r="M560">
        <v>19</v>
      </c>
      <c r="N560">
        <v>5400000</v>
      </c>
      <c r="O560">
        <f>PropertyData[[#This Row],[Price]]/PropertyData[[#This Row],[Area_sqft]]</f>
        <v>4411.7647058823532</v>
      </c>
      <c r="P560" t="str">
        <f t="shared" si="8"/>
        <v>Mid-Range</v>
      </c>
    </row>
    <row r="561" spans="1:16">
      <c r="A561" t="s">
        <v>573</v>
      </c>
      <c r="B561" t="s">
        <v>1014</v>
      </c>
      <c r="C561">
        <v>1251</v>
      </c>
      <c r="D561">
        <v>3</v>
      </c>
      <c r="E561">
        <v>2</v>
      </c>
      <c r="F561">
        <v>1</v>
      </c>
      <c r="G561" t="s">
        <v>1022</v>
      </c>
      <c r="H561" t="s">
        <v>1022</v>
      </c>
      <c r="I561" t="s">
        <v>1022</v>
      </c>
      <c r="J561" t="s">
        <v>1022</v>
      </c>
      <c r="K561" t="s">
        <v>1025</v>
      </c>
      <c r="L561">
        <v>1</v>
      </c>
      <c r="M561">
        <v>3</v>
      </c>
      <c r="N561">
        <v>9550000</v>
      </c>
      <c r="O561">
        <f>PropertyData[[#This Row],[Price]]/PropertyData[[#This Row],[Area_sqft]]</f>
        <v>7633.8928856914472</v>
      </c>
      <c r="P561" t="str">
        <f t="shared" si="8"/>
        <v>Mid-Range</v>
      </c>
    </row>
    <row r="562" spans="1:16">
      <c r="A562" t="s">
        <v>574</v>
      </c>
      <c r="B562" t="s">
        <v>1018</v>
      </c>
      <c r="C562">
        <v>933</v>
      </c>
      <c r="D562">
        <v>2</v>
      </c>
      <c r="E562">
        <v>2</v>
      </c>
      <c r="F562">
        <v>3</v>
      </c>
      <c r="G562" t="s">
        <v>1022</v>
      </c>
      <c r="H562" t="s">
        <v>1023</v>
      </c>
      <c r="I562" t="s">
        <v>1022</v>
      </c>
      <c r="J562" t="s">
        <v>1022</v>
      </c>
      <c r="K562" t="s">
        <v>1025</v>
      </c>
      <c r="L562">
        <v>1</v>
      </c>
      <c r="M562">
        <v>15</v>
      </c>
      <c r="N562">
        <v>5750000</v>
      </c>
      <c r="O562">
        <f>PropertyData[[#This Row],[Price]]/PropertyData[[#This Row],[Area_sqft]]</f>
        <v>6162.9153269024655</v>
      </c>
      <c r="P562" t="str">
        <f t="shared" si="8"/>
        <v>Mid-Range</v>
      </c>
    </row>
    <row r="563" spans="1:16">
      <c r="A563" t="s">
        <v>575</v>
      </c>
      <c r="B563" t="s">
        <v>1016</v>
      </c>
      <c r="C563">
        <v>893</v>
      </c>
      <c r="D563">
        <v>1</v>
      </c>
      <c r="E563">
        <v>2</v>
      </c>
      <c r="F563">
        <v>21</v>
      </c>
      <c r="G563" t="s">
        <v>1022</v>
      </c>
      <c r="H563" t="s">
        <v>1022</v>
      </c>
      <c r="I563" t="s">
        <v>1023</v>
      </c>
      <c r="J563" t="s">
        <v>1022</v>
      </c>
      <c r="K563" t="s">
        <v>1025</v>
      </c>
      <c r="L563">
        <v>19</v>
      </c>
      <c r="M563">
        <v>21</v>
      </c>
      <c r="N563">
        <v>4600000</v>
      </c>
      <c r="O563">
        <f>PropertyData[[#This Row],[Price]]/PropertyData[[#This Row],[Area_sqft]]</f>
        <v>5151.1758118701009</v>
      </c>
      <c r="P563" t="str">
        <f t="shared" si="8"/>
        <v>Budget</v>
      </c>
    </row>
    <row r="564" spans="1:16">
      <c r="A564" t="s">
        <v>576</v>
      </c>
      <c r="B564" t="s">
        <v>1021</v>
      </c>
      <c r="C564">
        <v>1459</v>
      </c>
      <c r="D564">
        <v>3</v>
      </c>
      <c r="E564">
        <v>3</v>
      </c>
      <c r="F564">
        <v>19</v>
      </c>
      <c r="G564" t="s">
        <v>1023</v>
      </c>
      <c r="H564" t="s">
        <v>1023</v>
      </c>
      <c r="I564" t="s">
        <v>1023</v>
      </c>
      <c r="J564" t="s">
        <v>1022</v>
      </c>
      <c r="K564" t="s">
        <v>1025</v>
      </c>
      <c r="L564">
        <v>10</v>
      </c>
      <c r="M564">
        <v>19</v>
      </c>
      <c r="N564">
        <v>6350000</v>
      </c>
      <c r="O564">
        <f>PropertyData[[#This Row],[Price]]/PropertyData[[#This Row],[Area_sqft]]</f>
        <v>4352.2960932145306</v>
      </c>
      <c r="P564" t="str">
        <f t="shared" si="8"/>
        <v>Mid-Range</v>
      </c>
    </row>
    <row r="565" spans="1:16">
      <c r="A565" t="s">
        <v>577</v>
      </c>
      <c r="B565" t="s">
        <v>1021</v>
      </c>
      <c r="C565">
        <v>1457</v>
      </c>
      <c r="D565">
        <v>3</v>
      </c>
      <c r="E565">
        <v>3</v>
      </c>
      <c r="F565">
        <v>6</v>
      </c>
      <c r="G565" t="s">
        <v>1022</v>
      </c>
      <c r="H565" t="s">
        <v>1022</v>
      </c>
      <c r="I565" t="s">
        <v>1023</v>
      </c>
      <c r="J565" t="s">
        <v>1023</v>
      </c>
      <c r="K565" t="s">
        <v>1025</v>
      </c>
      <c r="L565">
        <v>1</v>
      </c>
      <c r="M565">
        <v>10</v>
      </c>
      <c r="N565">
        <v>7850000</v>
      </c>
      <c r="O565">
        <f>PropertyData[[#This Row],[Price]]/PropertyData[[#This Row],[Area_sqft]]</f>
        <v>5387.7831159917641</v>
      </c>
      <c r="P565" t="str">
        <f t="shared" si="8"/>
        <v>Mid-Range</v>
      </c>
    </row>
    <row r="566" spans="1:16">
      <c r="A566" t="s">
        <v>578</v>
      </c>
      <c r="B566" t="s">
        <v>1016</v>
      </c>
      <c r="C566">
        <v>1312</v>
      </c>
      <c r="D566">
        <v>3</v>
      </c>
      <c r="E566">
        <v>4</v>
      </c>
      <c r="F566">
        <v>21</v>
      </c>
      <c r="G566" t="s">
        <v>1022</v>
      </c>
      <c r="H566" t="s">
        <v>1022</v>
      </c>
      <c r="I566" t="s">
        <v>1022</v>
      </c>
      <c r="J566" t="s">
        <v>1022</v>
      </c>
      <c r="K566" t="s">
        <v>1025</v>
      </c>
      <c r="L566">
        <v>16</v>
      </c>
      <c r="M566">
        <v>22</v>
      </c>
      <c r="N566">
        <v>6000000</v>
      </c>
      <c r="O566">
        <f>PropertyData[[#This Row],[Price]]/PropertyData[[#This Row],[Area_sqft]]</f>
        <v>4573.1707317073169</v>
      </c>
      <c r="P566" t="str">
        <f t="shared" si="8"/>
        <v>Mid-Range</v>
      </c>
    </row>
    <row r="567" spans="1:16">
      <c r="A567" t="s">
        <v>579</v>
      </c>
      <c r="B567" t="s">
        <v>1018</v>
      </c>
      <c r="C567">
        <v>1405</v>
      </c>
      <c r="D567">
        <v>3</v>
      </c>
      <c r="E567">
        <v>4</v>
      </c>
      <c r="F567">
        <v>28</v>
      </c>
      <c r="G567" t="s">
        <v>1022</v>
      </c>
      <c r="H567" t="s">
        <v>1022</v>
      </c>
      <c r="I567" t="s">
        <v>1023</v>
      </c>
      <c r="J567" t="s">
        <v>1022</v>
      </c>
      <c r="K567" t="s">
        <v>1025</v>
      </c>
      <c r="L567">
        <v>1</v>
      </c>
      <c r="M567">
        <v>3</v>
      </c>
      <c r="N567">
        <v>6450000</v>
      </c>
      <c r="O567">
        <f>PropertyData[[#This Row],[Price]]/PropertyData[[#This Row],[Area_sqft]]</f>
        <v>4590.747330960854</v>
      </c>
      <c r="P567" t="str">
        <f t="shared" si="8"/>
        <v>Mid-Range</v>
      </c>
    </row>
    <row r="568" spans="1:16">
      <c r="A568" t="s">
        <v>580</v>
      </c>
      <c r="B568" t="s">
        <v>1015</v>
      </c>
      <c r="C568">
        <v>765</v>
      </c>
      <c r="D568">
        <v>1</v>
      </c>
      <c r="E568">
        <v>1</v>
      </c>
      <c r="F568">
        <v>3</v>
      </c>
      <c r="G568" t="s">
        <v>1022</v>
      </c>
      <c r="H568" t="s">
        <v>1023</v>
      </c>
      <c r="I568" t="s">
        <v>1022</v>
      </c>
      <c r="J568" t="s">
        <v>1023</v>
      </c>
      <c r="K568" t="s">
        <v>1025</v>
      </c>
      <c r="L568">
        <v>2</v>
      </c>
      <c r="M568">
        <v>17</v>
      </c>
      <c r="N568">
        <v>3050000</v>
      </c>
      <c r="O568">
        <f>PropertyData[[#This Row],[Price]]/PropertyData[[#This Row],[Area_sqft]]</f>
        <v>3986.9281045751636</v>
      </c>
      <c r="P568" t="str">
        <f t="shared" si="8"/>
        <v>Budget</v>
      </c>
    </row>
    <row r="569" spans="1:16">
      <c r="A569" t="s">
        <v>581</v>
      </c>
      <c r="B569" t="s">
        <v>1020</v>
      </c>
      <c r="C569">
        <v>1337</v>
      </c>
      <c r="D569">
        <v>3</v>
      </c>
      <c r="E569">
        <v>3</v>
      </c>
      <c r="F569">
        <v>0</v>
      </c>
      <c r="G569" t="s">
        <v>1023</v>
      </c>
      <c r="H569" t="s">
        <v>1022</v>
      </c>
      <c r="I569" t="s">
        <v>1023</v>
      </c>
      <c r="J569" t="s">
        <v>1023</v>
      </c>
      <c r="K569" t="s">
        <v>1024</v>
      </c>
      <c r="L569">
        <v>5</v>
      </c>
      <c r="M569">
        <v>13</v>
      </c>
      <c r="N569">
        <v>11100000</v>
      </c>
      <c r="O569">
        <f>PropertyData[[#This Row],[Price]]/PropertyData[[#This Row],[Area_sqft]]</f>
        <v>8302.1690351533289</v>
      </c>
      <c r="P569" t="str">
        <f t="shared" si="8"/>
        <v>Premium</v>
      </c>
    </row>
    <row r="570" spans="1:16">
      <c r="A570" t="s">
        <v>582</v>
      </c>
      <c r="B570" t="s">
        <v>1019</v>
      </c>
      <c r="C570">
        <v>1270</v>
      </c>
      <c r="D570">
        <v>2</v>
      </c>
      <c r="E570">
        <v>2</v>
      </c>
      <c r="F570">
        <v>22</v>
      </c>
      <c r="G570" t="s">
        <v>1023</v>
      </c>
      <c r="H570" t="s">
        <v>1022</v>
      </c>
      <c r="I570" t="s">
        <v>1022</v>
      </c>
      <c r="J570" t="s">
        <v>1022</v>
      </c>
      <c r="K570" t="s">
        <v>1025</v>
      </c>
      <c r="L570">
        <v>6</v>
      </c>
      <c r="M570">
        <v>10</v>
      </c>
      <c r="N570">
        <v>9200000</v>
      </c>
      <c r="O570">
        <f>PropertyData[[#This Row],[Price]]/PropertyData[[#This Row],[Area_sqft]]</f>
        <v>7244.0944881889764</v>
      </c>
      <c r="P570" t="str">
        <f t="shared" si="8"/>
        <v>Mid-Range</v>
      </c>
    </row>
    <row r="571" spans="1:16">
      <c r="A571" t="s">
        <v>583</v>
      </c>
      <c r="B571" t="s">
        <v>1014</v>
      </c>
      <c r="C571">
        <v>1287</v>
      </c>
      <c r="D571">
        <v>3</v>
      </c>
      <c r="E571">
        <v>3</v>
      </c>
      <c r="F571">
        <v>15</v>
      </c>
      <c r="G571" t="s">
        <v>1022</v>
      </c>
      <c r="H571" t="s">
        <v>1023</v>
      </c>
      <c r="I571" t="s">
        <v>1022</v>
      </c>
      <c r="J571" t="s">
        <v>1022</v>
      </c>
      <c r="K571" t="s">
        <v>1026</v>
      </c>
      <c r="L571">
        <v>19</v>
      </c>
      <c r="M571">
        <v>24</v>
      </c>
      <c r="N571">
        <v>12750000</v>
      </c>
      <c r="O571">
        <f>PropertyData[[#This Row],[Price]]/PropertyData[[#This Row],[Area_sqft]]</f>
        <v>9906.7599067599076</v>
      </c>
      <c r="P571" t="str">
        <f t="shared" si="8"/>
        <v>Premium</v>
      </c>
    </row>
    <row r="572" spans="1:16">
      <c r="A572" t="s">
        <v>584</v>
      </c>
      <c r="B572" t="s">
        <v>1019</v>
      </c>
      <c r="C572">
        <v>1021</v>
      </c>
      <c r="D572">
        <v>2</v>
      </c>
      <c r="E572">
        <v>2</v>
      </c>
      <c r="F572">
        <v>6</v>
      </c>
      <c r="G572" t="s">
        <v>1022</v>
      </c>
      <c r="H572" t="s">
        <v>1023</v>
      </c>
      <c r="I572" t="s">
        <v>1023</v>
      </c>
      <c r="J572" t="s">
        <v>1022</v>
      </c>
      <c r="K572" t="s">
        <v>1025</v>
      </c>
      <c r="L572">
        <v>9</v>
      </c>
      <c r="M572">
        <v>10</v>
      </c>
      <c r="N572">
        <v>7850000</v>
      </c>
      <c r="O572">
        <f>PropertyData[[#This Row],[Price]]/PropertyData[[#This Row],[Area_sqft]]</f>
        <v>7688.5406464250736</v>
      </c>
      <c r="P572" t="str">
        <f t="shared" si="8"/>
        <v>Mid-Range</v>
      </c>
    </row>
    <row r="573" spans="1:16">
      <c r="A573" t="s">
        <v>585</v>
      </c>
      <c r="B573" t="s">
        <v>1016</v>
      </c>
      <c r="C573">
        <v>1204</v>
      </c>
      <c r="D573">
        <v>3</v>
      </c>
      <c r="E573">
        <v>4</v>
      </c>
      <c r="F573">
        <v>12</v>
      </c>
      <c r="G573" t="s">
        <v>1022</v>
      </c>
      <c r="H573" t="s">
        <v>1022</v>
      </c>
      <c r="I573" t="s">
        <v>1023</v>
      </c>
      <c r="J573" t="s">
        <v>1023</v>
      </c>
      <c r="K573" t="s">
        <v>1024</v>
      </c>
      <c r="L573">
        <v>16</v>
      </c>
      <c r="M573">
        <v>16</v>
      </c>
      <c r="N573">
        <v>6000000</v>
      </c>
      <c r="O573">
        <f>PropertyData[[#This Row],[Price]]/PropertyData[[#This Row],[Area_sqft]]</f>
        <v>4983.388704318937</v>
      </c>
      <c r="P573" t="str">
        <f t="shared" si="8"/>
        <v>Mid-Range</v>
      </c>
    </row>
    <row r="574" spans="1:16">
      <c r="A574" t="s">
        <v>586</v>
      </c>
      <c r="B574" t="s">
        <v>1020</v>
      </c>
      <c r="C574">
        <v>1315</v>
      </c>
      <c r="D574">
        <v>3</v>
      </c>
      <c r="E574">
        <v>3</v>
      </c>
      <c r="F574">
        <v>26</v>
      </c>
      <c r="G574" t="s">
        <v>1023</v>
      </c>
      <c r="H574" t="s">
        <v>1023</v>
      </c>
      <c r="I574" t="s">
        <v>1023</v>
      </c>
      <c r="J574" t="s">
        <v>1023</v>
      </c>
      <c r="K574" t="s">
        <v>1025</v>
      </c>
      <c r="L574">
        <v>13</v>
      </c>
      <c r="M574">
        <v>23</v>
      </c>
      <c r="N574">
        <v>5950000</v>
      </c>
      <c r="O574">
        <f>PropertyData[[#This Row],[Price]]/PropertyData[[#This Row],[Area_sqft]]</f>
        <v>4524.7148288973385</v>
      </c>
      <c r="P574" t="str">
        <f t="shared" si="8"/>
        <v>Mid-Range</v>
      </c>
    </row>
    <row r="575" spans="1:16">
      <c r="A575" t="s">
        <v>587</v>
      </c>
      <c r="B575" t="s">
        <v>1019</v>
      </c>
      <c r="C575">
        <v>989</v>
      </c>
      <c r="D575">
        <v>1</v>
      </c>
      <c r="E575">
        <v>1</v>
      </c>
      <c r="F575">
        <v>1</v>
      </c>
      <c r="G575" t="s">
        <v>1022</v>
      </c>
      <c r="H575" t="s">
        <v>1022</v>
      </c>
      <c r="I575" t="s">
        <v>1023</v>
      </c>
      <c r="J575" t="s">
        <v>1023</v>
      </c>
      <c r="K575" t="s">
        <v>1024</v>
      </c>
      <c r="L575">
        <v>9</v>
      </c>
      <c r="M575">
        <v>14</v>
      </c>
      <c r="N575">
        <v>9800000</v>
      </c>
      <c r="O575">
        <f>PropertyData[[#This Row],[Price]]/PropertyData[[#This Row],[Area_sqft]]</f>
        <v>9908.9989888776545</v>
      </c>
      <c r="P575" t="str">
        <f t="shared" si="8"/>
        <v>Mid-Range</v>
      </c>
    </row>
    <row r="576" spans="1:16">
      <c r="A576" t="s">
        <v>588</v>
      </c>
      <c r="B576" t="s">
        <v>1014</v>
      </c>
      <c r="C576">
        <v>1655</v>
      </c>
      <c r="D576">
        <v>4</v>
      </c>
      <c r="E576">
        <v>4</v>
      </c>
      <c r="F576">
        <v>9</v>
      </c>
      <c r="G576" t="s">
        <v>1022</v>
      </c>
      <c r="H576" t="s">
        <v>1023</v>
      </c>
      <c r="I576" t="s">
        <v>1023</v>
      </c>
      <c r="J576" t="s">
        <v>1023</v>
      </c>
      <c r="K576" t="s">
        <v>1024</v>
      </c>
      <c r="L576">
        <v>15</v>
      </c>
      <c r="M576">
        <v>19</v>
      </c>
      <c r="N576">
        <v>13000000</v>
      </c>
      <c r="O576">
        <f>PropertyData[[#This Row],[Price]]/PropertyData[[#This Row],[Area_sqft]]</f>
        <v>7854.9848942598192</v>
      </c>
      <c r="P576" t="str">
        <f t="shared" si="8"/>
        <v>Premium</v>
      </c>
    </row>
    <row r="577" spans="1:16">
      <c r="A577" t="s">
        <v>589</v>
      </c>
      <c r="B577" t="s">
        <v>1016</v>
      </c>
      <c r="C577">
        <v>1594</v>
      </c>
      <c r="D577">
        <v>4</v>
      </c>
      <c r="E577">
        <v>4</v>
      </c>
      <c r="F577">
        <v>10</v>
      </c>
      <c r="G577" t="s">
        <v>1022</v>
      </c>
      <c r="H577" t="s">
        <v>1023</v>
      </c>
      <c r="I577" t="s">
        <v>1023</v>
      </c>
      <c r="J577" t="s">
        <v>1022</v>
      </c>
      <c r="K577" t="s">
        <v>1026</v>
      </c>
      <c r="L577">
        <v>10</v>
      </c>
      <c r="M577">
        <v>11</v>
      </c>
      <c r="N577">
        <v>9500000</v>
      </c>
      <c r="O577">
        <f>PropertyData[[#This Row],[Price]]/PropertyData[[#This Row],[Area_sqft]]</f>
        <v>5959.8494353826854</v>
      </c>
      <c r="P577" t="str">
        <f t="shared" si="8"/>
        <v>Mid-Range</v>
      </c>
    </row>
    <row r="578" spans="1:16">
      <c r="A578" t="s">
        <v>590</v>
      </c>
      <c r="B578" t="s">
        <v>1019</v>
      </c>
      <c r="C578">
        <v>1063</v>
      </c>
      <c r="D578">
        <v>2</v>
      </c>
      <c r="E578">
        <v>2</v>
      </c>
      <c r="F578">
        <v>5</v>
      </c>
      <c r="G578" t="s">
        <v>1022</v>
      </c>
      <c r="H578" t="s">
        <v>1022</v>
      </c>
      <c r="I578" t="s">
        <v>1023</v>
      </c>
      <c r="J578" t="s">
        <v>1023</v>
      </c>
      <c r="K578" t="s">
        <v>1025</v>
      </c>
      <c r="L578">
        <v>19</v>
      </c>
      <c r="M578">
        <v>19</v>
      </c>
      <c r="N578">
        <v>7350000</v>
      </c>
      <c r="O578">
        <f>PropertyData[[#This Row],[Price]]/PropertyData[[#This Row],[Area_sqft]]</f>
        <v>6914.3932267168393</v>
      </c>
      <c r="P578" t="str">
        <f t="shared" ref="P578:P641" si="9">IF(N578&lt;5000000,"Budget",IF(N578&lt;=10000000,"Mid-Range","Premium"))</f>
        <v>Mid-Range</v>
      </c>
    </row>
    <row r="579" spans="1:16">
      <c r="A579" t="s">
        <v>591</v>
      </c>
      <c r="B579" t="s">
        <v>1015</v>
      </c>
      <c r="C579">
        <v>1393</v>
      </c>
      <c r="D579">
        <v>3</v>
      </c>
      <c r="E579">
        <v>2</v>
      </c>
      <c r="F579">
        <v>25</v>
      </c>
      <c r="G579" t="s">
        <v>1022</v>
      </c>
      <c r="H579" t="s">
        <v>1023</v>
      </c>
      <c r="I579" t="s">
        <v>1023</v>
      </c>
      <c r="J579" t="s">
        <v>1022</v>
      </c>
      <c r="K579" t="s">
        <v>1025</v>
      </c>
      <c r="L579">
        <v>4</v>
      </c>
      <c r="M579">
        <v>18</v>
      </c>
      <c r="N579">
        <v>4250000</v>
      </c>
      <c r="O579">
        <f>PropertyData[[#This Row],[Price]]/PropertyData[[#This Row],[Area_sqft]]</f>
        <v>3050.9691313711414</v>
      </c>
      <c r="P579" t="str">
        <f t="shared" si="9"/>
        <v>Budget</v>
      </c>
    </row>
    <row r="580" spans="1:16">
      <c r="A580" t="s">
        <v>592</v>
      </c>
      <c r="B580" t="s">
        <v>1017</v>
      </c>
      <c r="C580">
        <v>1050</v>
      </c>
      <c r="D580">
        <v>2</v>
      </c>
      <c r="E580">
        <v>1</v>
      </c>
      <c r="F580">
        <v>12</v>
      </c>
      <c r="G580" t="s">
        <v>1022</v>
      </c>
      <c r="H580" t="s">
        <v>1022</v>
      </c>
      <c r="I580" t="s">
        <v>1023</v>
      </c>
      <c r="J580" t="s">
        <v>1022</v>
      </c>
      <c r="K580" t="s">
        <v>1025</v>
      </c>
      <c r="L580">
        <v>16</v>
      </c>
      <c r="M580">
        <v>17</v>
      </c>
      <c r="N580">
        <v>4200000</v>
      </c>
      <c r="O580">
        <f>PropertyData[[#This Row],[Price]]/PropertyData[[#This Row],[Area_sqft]]</f>
        <v>4000</v>
      </c>
      <c r="P580" t="str">
        <f t="shared" si="9"/>
        <v>Budget</v>
      </c>
    </row>
    <row r="581" spans="1:16">
      <c r="A581" t="s">
        <v>593</v>
      </c>
      <c r="B581" t="s">
        <v>1015</v>
      </c>
      <c r="C581">
        <v>1362</v>
      </c>
      <c r="D581">
        <v>3</v>
      </c>
      <c r="E581">
        <v>3</v>
      </c>
      <c r="F581">
        <v>29</v>
      </c>
      <c r="G581" t="s">
        <v>1023</v>
      </c>
      <c r="H581" t="s">
        <v>1023</v>
      </c>
      <c r="I581" t="s">
        <v>1022</v>
      </c>
      <c r="J581" t="s">
        <v>1022</v>
      </c>
      <c r="K581" t="s">
        <v>1025</v>
      </c>
      <c r="L581">
        <v>16</v>
      </c>
      <c r="M581">
        <v>18</v>
      </c>
      <c r="N581">
        <v>3700000</v>
      </c>
      <c r="O581">
        <f>PropertyData[[#This Row],[Price]]/PropertyData[[#This Row],[Area_sqft]]</f>
        <v>2716.5932452276065</v>
      </c>
      <c r="P581" t="str">
        <f t="shared" si="9"/>
        <v>Budget</v>
      </c>
    </row>
    <row r="582" spans="1:16">
      <c r="A582" t="s">
        <v>594</v>
      </c>
      <c r="B582" t="s">
        <v>1019</v>
      </c>
      <c r="C582">
        <v>1318</v>
      </c>
      <c r="D582">
        <v>3</v>
      </c>
      <c r="E582">
        <v>4</v>
      </c>
      <c r="F582">
        <v>1</v>
      </c>
      <c r="G582" t="s">
        <v>1022</v>
      </c>
      <c r="H582" t="s">
        <v>1022</v>
      </c>
      <c r="I582" t="s">
        <v>1022</v>
      </c>
      <c r="J582" t="s">
        <v>1023</v>
      </c>
      <c r="K582" t="s">
        <v>1024</v>
      </c>
      <c r="L582">
        <v>18</v>
      </c>
      <c r="M582">
        <v>23</v>
      </c>
      <c r="N582">
        <v>13850000</v>
      </c>
      <c r="O582">
        <f>PropertyData[[#This Row],[Price]]/PropertyData[[#This Row],[Area_sqft]]</f>
        <v>10508.345978755691</v>
      </c>
      <c r="P582" t="str">
        <f t="shared" si="9"/>
        <v>Premium</v>
      </c>
    </row>
    <row r="583" spans="1:16">
      <c r="A583" t="s">
        <v>595</v>
      </c>
      <c r="B583" t="s">
        <v>1020</v>
      </c>
      <c r="C583">
        <v>1286</v>
      </c>
      <c r="D583">
        <v>2</v>
      </c>
      <c r="E583">
        <v>2</v>
      </c>
      <c r="F583">
        <v>11</v>
      </c>
      <c r="G583" t="s">
        <v>1022</v>
      </c>
      <c r="H583" t="s">
        <v>1022</v>
      </c>
      <c r="I583" t="s">
        <v>1023</v>
      </c>
      <c r="J583" t="s">
        <v>1023</v>
      </c>
      <c r="K583" t="s">
        <v>1025</v>
      </c>
      <c r="L583">
        <v>12</v>
      </c>
      <c r="M583">
        <v>16</v>
      </c>
      <c r="N583">
        <v>8700000</v>
      </c>
      <c r="O583">
        <f>PropertyData[[#This Row],[Price]]/PropertyData[[#This Row],[Area_sqft]]</f>
        <v>6765.163297045101</v>
      </c>
      <c r="P583" t="str">
        <f t="shared" si="9"/>
        <v>Mid-Range</v>
      </c>
    </row>
    <row r="584" spans="1:16">
      <c r="A584" t="s">
        <v>596</v>
      </c>
      <c r="B584" t="s">
        <v>1018</v>
      </c>
      <c r="C584">
        <v>1190</v>
      </c>
      <c r="D584">
        <v>2</v>
      </c>
      <c r="E584">
        <v>2</v>
      </c>
      <c r="F584">
        <v>11</v>
      </c>
      <c r="G584" t="s">
        <v>1022</v>
      </c>
      <c r="H584" t="s">
        <v>1022</v>
      </c>
      <c r="I584" t="s">
        <v>1023</v>
      </c>
      <c r="J584" t="s">
        <v>1022</v>
      </c>
      <c r="K584" t="s">
        <v>1025</v>
      </c>
      <c r="L584">
        <v>20</v>
      </c>
      <c r="M584">
        <v>23</v>
      </c>
      <c r="N584">
        <v>6750000</v>
      </c>
      <c r="O584">
        <f>PropertyData[[#This Row],[Price]]/PropertyData[[#This Row],[Area_sqft]]</f>
        <v>5672.2689075630251</v>
      </c>
      <c r="P584" t="str">
        <f t="shared" si="9"/>
        <v>Mid-Range</v>
      </c>
    </row>
    <row r="585" spans="1:16">
      <c r="A585" t="s">
        <v>597</v>
      </c>
      <c r="B585" t="s">
        <v>1016</v>
      </c>
      <c r="C585">
        <v>534</v>
      </c>
      <c r="D585">
        <v>1</v>
      </c>
      <c r="E585">
        <v>1</v>
      </c>
      <c r="F585">
        <v>15</v>
      </c>
      <c r="G585" t="s">
        <v>1022</v>
      </c>
      <c r="H585" t="s">
        <v>1022</v>
      </c>
      <c r="I585" t="s">
        <v>1022</v>
      </c>
      <c r="J585" t="s">
        <v>1022</v>
      </c>
      <c r="K585" t="s">
        <v>1024</v>
      </c>
      <c r="L585">
        <v>19</v>
      </c>
      <c r="M585">
        <v>21</v>
      </c>
      <c r="N585">
        <v>2800000</v>
      </c>
      <c r="O585">
        <f>PropertyData[[#This Row],[Price]]/PropertyData[[#This Row],[Area_sqft]]</f>
        <v>5243.4456928838954</v>
      </c>
      <c r="P585" t="str">
        <f t="shared" si="9"/>
        <v>Budget</v>
      </c>
    </row>
    <row r="586" spans="1:16">
      <c r="A586" t="s">
        <v>598</v>
      </c>
      <c r="B586" t="s">
        <v>1020</v>
      </c>
      <c r="C586">
        <v>1297</v>
      </c>
      <c r="D586">
        <v>2</v>
      </c>
      <c r="E586">
        <v>3</v>
      </c>
      <c r="F586">
        <v>12</v>
      </c>
      <c r="G586" t="s">
        <v>1023</v>
      </c>
      <c r="H586" t="s">
        <v>1023</v>
      </c>
      <c r="I586" t="s">
        <v>1023</v>
      </c>
      <c r="J586" t="s">
        <v>1022</v>
      </c>
      <c r="K586" t="s">
        <v>1025</v>
      </c>
      <c r="L586">
        <v>1</v>
      </c>
      <c r="M586">
        <v>18</v>
      </c>
      <c r="N586">
        <v>7400000</v>
      </c>
      <c r="O586">
        <f>PropertyData[[#This Row],[Price]]/PropertyData[[#This Row],[Area_sqft]]</f>
        <v>5705.4741711642255</v>
      </c>
      <c r="P586" t="str">
        <f t="shared" si="9"/>
        <v>Mid-Range</v>
      </c>
    </row>
    <row r="587" spans="1:16">
      <c r="A587" t="s">
        <v>599</v>
      </c>
      <c r="B587" t="s">
        <v>1018</v>
      </c>
      <c r="C587">
        <v>1107</v>
      </c>
      <c r="D587">
        <v>2</v>
      </c>
      <c r="E587">
        <v>2</v>
      </c>
      <c r="F587">
        <v>19</v>
      </c>
      <c r="G587" t="s">
        <v>1022</v>
      </c>
      <c r="H587" t="s">
        <v>1023</v>
      </c>
      <c r="I587" t="s">
        <v>1023</v>
      </c>
      <c r="J587" t="s">
        <v>1022</v>
      </c>
      <c r="K587" t="s">
        <v>1025</v>
      </c>
      <c r="L587">
        <v>17</v>
      </c>
      <c r="M587">
        <v>23</v>
      </c>
      <c r="N587">
        <v>5000000</v>
      </c>
      <c r="O587">
        <f>PropertyData[[#This Row],[Price]]/PropertyData[[#This Row],[Area_sqft]]</f>
        <v>4516.7118337850043</v>
      </c>
      <c r="P587" t="str">
        <f t="shared" si="9"/>
        <v>Mid-Range</v>
      </c>
    </row>
    <row r="588" spans="1:16">
      <c r="A588" t="s">
        <v>600</v>
      </c>
      <c r="B588" t="s">
        <v>1015</v>
      </c>
      <c r="C588">
        <v>1310</v>
      </c>
      <c r="D588">
        <v>3</v>
      </c>
      <c r="E588">
        <v>2</v>
      </c>
      <c r="F588">
        <v>22</v>
      </c>
      <c r="G588" t="s">
        <v>1023</v>
      </c>
      <c r="H588" t="s">
        <v>1022</v>
      </c>
      <c r="I588" t="s">
        <v>1023</v>
      </c>
      <c r="J588" t="s">
        <v>1022</v>
      </c>
      <c r="K588" t="s">
        <v>1026</v>
      </c>
      <c r="L588">
        <v>20</v>
      </c>
      <c r="M588">
        <v>21</v>
      </c>
      <c r="N588">
        <v>5750000</v>
      </c>
      <c r="O588">
        <f>PropertyData[[#This Row],[Price]]/PropertyData[[#This Row],[Area_sqft]]</f>
        <v>4389.3129770992364</v>
      </c>
      <c r="P588" t="str">
        <f t="shared" si="9"/>
        <v>Mid-Range</v>
      </c>
    </row>
    <row r="589" spans="1:16">
      <c r="A589" t="s">
        <v>601</v>
      </c>
      <c r="B589" t="s">
        <v>1015</v>
      </c>
      <c r="C589">
        <v>955</v>
      </c>
      <c r="D589">
        <v>3</v>
      </c>
      <c r="E589">
        <v>2</v>
      </c>
      <c r="F589">
        <v>30</v>
      </c>
      <c r="G589" t="s">
        <v>1022</v>
      </c>
      <c r="H589" t="s">
        <v>1022</v>
      </c>
      <c r="I589" t="s">
        <v>1022</v>
      </c>
      <c r="J589" t="s">
        <v>1022</v>
      </c>
      <c r="K589" t="s">
        <v>1025</v>
      </c>
      <c r="L589">
        <v>20</v>
      </c>
      <c r="M589">
        <v>20</v>
      </c>
      <c r="N589">
        <v>3550000</v>
      </c>
      <c r="O589">
        <f>PropertyData[[#This Row],[Price]]/PropertyData[[#This Row],[Area_sqft]]</f>
        <v>3717.2774869109949</v>
      </c>
      <c r="P589" t="str">
        <f t="shared" si="9"/>
        <v>Budget</v>
      </c>
    </row>
    <row r="590" spans="1:16">
      <c r="A590" t="s">
        <v>602</v>
      </c>
      <c r="B590" t="s">
        <v>1018</v>
      </c>
      <c r="C590">
        <v>936</v>
      </c>
      <c r="D590">
        <v>2</v>
      </c>
      <c r="E590">
        <v>1</v>
      </c>
      <c r="F590">
        <v>24</v>
      </c>
      <c r="G590" t="s">
        <v>1023</v>
      </c>
      <c r="H590" t="s">
        <v>1022</v>
      </c>
      <c r="I590" t="s">
        <v>1023</v>
      </c>
      <c r="J590" t="s">
        <v>1023</v>
      </c>
      <c r="K590" t="s">
        <v>1025</v>
      </c>
      <c r="L590">
        <v>1</v>
      </c>
      <c r="M590">
        <v>23</v>
      </c>
      <c r="N590">
        <v>3450000</v>
      </c>
      <c r="O590">
        <f>PropertyData[[#This Row],[Price]]/PropertyData[[#This Row],[Area_sqft]]</f>
        <v>3685.897435897436</v>
      </c>
      <c r="P590" t="str">
        <f t="shared" si="9"/>
        <v>Budget</v>
      </c>
    </row>
    <row r="591" spans="1:16">
      <c r="A591" t="s">
        <v>603</v>
      </c>
      <c r="B591" t="s">
        <v>1021</v>
      </c>
      <c r="C591">
        <v>1560</v>
      </c>
      <c r="D591">
        <v>4</v>
      </c>
      <c r="E591">
        <v>4</v>
      </c>
      <c r="F591">
        <v>9</v>
      </c>
      <c r="G591" t="s">
        <v>1022</v>
      </c>
      <c r="H591" t="s">
        <v>1023</v>
      </c>
      <c r="I591" t="s">
        <v>1022</v>
      </c>
      <c r="J591" t="s">
        <v>1022</v>
      </c>
      <c r="K591" t="s">
        <v>1025</v>
      </c>
      <c r="L591">
        <v>17</v>
      </c>
      <c r="M591">
        <v>21</v>
      </c>
      <c r="N591">
        <v>8100000</v>
      </c>
      <c r="O591">
        <f>PropertyData[[#This Row],[Price]]/PropertyData[[#This Row],[Area_sqft]]</f>
        <v>5192.3076923076924</v>
      </c>
      <c r="P591" t="str">
        <f t="shared" si="9"/>
        <v>Mid-Range</v>
      </c>
    </row>
    <row r="592" spans="1:16">
      <c r="A592" t="s">
        <v>604</v>
      </c>
      <c r="B592" t="s">
        <v>1014</v>
      </c>
      <c r="C592">
        <v>843</v>
      </c>
      <c r="D592">
        <v>2</v>
      </c>
      <c r="E592">
        <v>2</v>
      </c>
      <c r="F592">
        <v>8</v>
      </c>
      <c r="G592" t="s">
        <v>1023</v>
      </c>
      <c r="H592" t="s">
        <v>1022</v>
      </c>
      <c r="I592" t="s">
        <v>1022</v>
      </c>
      <c r="J592" t="s">
        <v>1022</v>
      </c>
      <c r="K592" t="s">
        <v>1024</v>
      </c>
      <c r="L592">
        <v>16</v>
      </c>
      <c r="M592">
        <v>24</v>
      </c>
      <c r="N592">
        <v>7450000</v>
      </c>
      <c r="O592">
        <f>PropertyData[[#This Row],[Price]]/PropertyData[[#This Row],[Area_sqft]]</f>
        <v>8837.4851720047445</v>
      </c>
      <c r="P592" t="str">
        <f t="shared" si="9"/>
        <v>Mid-Range</v>
      </c>
    </row>
    <row r="593" spans="1:16">
      <c r="A593" t="s">
        <v>605</v>
      </c>
      <c r="B593" t="s">
        <v>1017</v>
      </c>
      <c r="C593">
        <v>1185</v>
      </c>
      <c r="D593">
        <v>2</v>
      </c>
      <c r="E593">
        <v>2</v>
      </c>
      <c r="F593">
        <v>17</v>
      </c>
      <c r="G593" t="s">
        <v>1023</v>
      </c>
      <c r="H593" t="s">
        <v>1023</v>
      </c>
      <c r="I593" t="s">
        <v>1023</v>
      </c>
      <c r="J593" t="s">
        <v>1022</v>
      </c>
      <c r="K593" t="s">
        <v>1025</v>
      </c>
      <c r="L593">
        <v>11</v>
      </c>
      <c r="M593">
        <v>22</v>
      </c>
      <c r="N593">
        <v>3500000</v>
      </c>
      <c r="O593">
        <f>PropertyData[[#This Row],[Price]]/PropertyData[[#This Row],[Area_sqft]]</f>
        <v>2953.5864978902955</v>
      </c>
      <c r="P593" t="str">
        <f t="shared" si="9"/>
        <v>Budget</v>
      </c>
    </row>
    <row r="594" spans="1:16">
      <c r="A594" t="s">
        <v>606</v>
      </c>
      <c r="B594" t="s">
        <v>1015</v>
      </c>
      <c r="C594">
        <v>578</v>
      </c>
      <c r="D594">
        <v>1</v>
      </c>
      <c r="E594">
        <v>1</v>
      </c>
      <c r="F594">
        <v>19</v>
      </c>
      <c r="G594" t="s">
        <v>1022</v>
      </c>
      <c r="H594" t="s">
        <v>1022</v>
      </c>
      <c r="I594" t="s">
        <v>1023</v>
      </c>
      <c r="J594" t="s">
        <v>1023</v>
      </c>
      <c r="K594" t="s">
        <v>1024</v>
      </c>
      <c r="L594">
        <v>12</v>
      </c>
      <c r="M594">
        <v>16</v>
      </c>
      <c r="N594">
        <v>2200000</v>
      </c>
      <c r="O594">
        <f>PropertyData[[#This Row],[Price]]/PropertyData[[#This Row],[Area_sqft]]</f>
        <v>3806.2283737024222</v>
      </c>
      <c r="P594" t="str">
        <f t="shared" si="9"/>
        <v>Budget</v>
      </c>
    </row>
    <row r="595" spans="1:16">
      <c r="A595" t="s">
        <v>607</v>
      </c>
      <c r="B595" t="s">
        <v>1014</v>
      </c>
      <c r="C595">
        <v>1281</v>
      </c>
      <c r="D595">
        <v>3</v>
      </c>
      <c r="E595">
        <v>2</v>
      </c>
      <c r="F595">
        <v>17</v>
      </c>
      <c r="G595" t="s">
        <v>1023</v>
      </c>
      <c r="H595" t="s">
        <v>1022</v>
      </c>
      <c r="I595" t="s">
        <v>1023</v>
      </c>
      <c r="J595" t="s">
        <v>1022</v>
      </c>
      <c r="K595" t="s">
        <v>1024</v>
      </c>
      <c r="L595">
        <v>1</v>
      </c>
      <c r="M595">
        <v>18</v>
      </c>
      <c r="N595">
        <v>9250000</v>
      </c>
      <c r="O595">
        <f>PropertyData[[#This Row],[Price]]/PropertyData[[#This Row],[Area_sqft]]</f>
        <v>7220.9211553473851</v>
      </c>
      <c r="P595" t="str">
        <f t="shared" si="9"/>
        <v>Mid-Range</v>
      </c>
    </row>
    <row r="596" spans="1:16">
      <c r="A596" t="s">
        <v>608</v>
      </c>
      <c r="B596" t="s">
        <v>1020</v>
      </c>
      <c r="C596">
        <v>1744</v>
      </c>
      <c r="D596">
        <v>4</v>
      </c>
      <c r="E596">
        <v>3</v>
      </c>
      <c r="F596">
        <v>21</v>
      </c>
      <c r="G596" t="s">
        <v>1022</v>
      </c>
      <c r="H596" t="s">
        <v>1023</v>
      </c>
      <c r="I596" t="s">
        <v>1023</v>
      </c>
      <c r="J596" t="s">
        <v>1022</v>
      </c>
      <c r="K596" t="s">
        <v>1025</v>
      </c>
      <c r="L596">
        <v>16</v>
      </c>
      <c r="M596">
        <v>23</v>
      </c>
      <c r="N596">
        <v>10650000</v>
      </c>
      <c r="O596">
        <f>PropertyData[[#This Row],[Price]]/PropertyData[[#This Row],[Area_sqft]]</f>
        <v>6106.6513761467886</v>
      </c>
      <c r="P596" t="str">
        <f t="shared" si="9"/>
        <v>Premium</v>
      </c>
    </row>
    <row r="597" spans="1:16">
      <c r="A597" t="s">
        <v>609</v>
      </c>
      <c r="B597" t="s">
        <v>1014</v>
      </c>
      <c r="C597">
        <v>825</v>
      </c>
      <c r="D597">
        <v>1</v>
      </c>
      <c r="E597">
        <v>1</v>
      </c>
      <c r="F597">
        <v>22</v>
      </c>
      <c r="G597" t="s">
        <v>1022</v>
      </c>
      <c r="H597" t="s">
        <v>1022</v>
      </c>
      <c r="I597" t="s">
        <v>1023</v>
      </c>
      <c r="J597" t="s">
        <v>1022</v>
      </c>
      <c r="K597" t="s">
        <v>1024</v>
      </c>
      <c r="L597">
        <v>10</v>
      </c>
      <c r="M597">
        <v>22</v>
      </c>
      <c r="N597">
        <v>5800000</v>
      </c>
      <c r="O597">
        <f>PropertyData[[#This Row],[Price]]/PropertyData[[#This Row],[Area_sqft]]</f>
        <v>7030.30303030303</v>
      </c>
      <c r="P597" t="str">
        <f t="shared" si="9"/>
        <v>Mid-Range</v>
      </c>
    </row>
    <row r="598" spans="1:16">
      <c r="A598" t="s">
        <v>610</v>
      </c>
      <c r="B598" t="s">
        <v>1020</v>
      </c>
      <c r="C598">
        <v>2045</v>
      </c>
      <c r="D598">
        <v>4</v>
      </c>
      <c r="E598">
        <v>3</v>
      </c>
      <c r="F598">
        <v>22</v>
      </c>
      <c r="G598" t="s">
        <v>1022</v>
      </c>
      <c r="H598" t="s">
        <v>1022</v>
      </c>
      <c r="I598" t="s">
        <v>1023</v>
      </c>
      <c r="J598" t="s">
        <v>1022</v>
      </c>
      <c r="K598" t="s">
        <v>1025</v>
      </c>
      <c r="L598">
        <v>19</v>
      </c>
      <c r="M598">
        <v>23</v>
      </c>
      <c r="N598">
        <v>12500000</v>
      </c>
      <c r="O598">
        <f>PropertyData[[#This Row],[Price]]/PropertyData[[#This Row],[Area_sqft]]</f>
        <v>6112.4694376528114</v>
      </c>
      <c r="P598" t="str">
        <f t="shared" si="9"/>
        <v>Premium</v>
      </c>
    </row>
    <row r="599" spans="1:16">
      <c r="A599" t="s">
        <v>611</v>
      </c>
      <c r="B599" t="s">
        <v>1018</v>
      </c>
      <c r="C599">
        <v>1090</v>
      </c>
      <c r="D599">
        <v>2</v>
      </c>
      <c r="E599">
        <v>2</v>
      </c>
      <c r="F599">
        <v>16</v>
      </c>
      <c r="G599" t="s">
        <v>1022</v>
      </c>
      <c r="H599" t="s">
        <v>1022</v>
      </c>
      <c r="I599" t="s">
        <v>1023</v>
      </c>
      <c r="J599" t="s">
        <v>1023</v>
      </c>
      <c r="K599" t="s">
        <v>1025</v>
      </c>
      <c r="L599">
        <v>15</v>
      </c>
      <c r="M599">
        <v>20</v>
      </c>
      <c r="N599">
        <v>5500000</v>
      </c>
      <c r="O599">
        <f>PropertyData[[#This Row],[Price]]/PropertyData[[#This Row],[Area_sqft]]</f>
        <v>5045.8715596330276</v>
      </c>
      <c r="P599" t="str">
        <f t="shared" si="9"/>
        <v>Mid-Range</v>
      </c>
    </row>
    <row r="600" spans="1:16">
      <c r="A600" t="s">
        <v>612</v>
      </c>
      <c r="B600" t="s">
        <v>1014</v>
      </c>
      <c r="C600">
        <v>693</v>
      </c>
      <c r="D600">
        <v>1</v>
      </c>
      <c r="E600">
        <v>2</v>
      </c>
      <c r="F600">
        <v>6</v>
      </c>
      <c r="G600" t="s">
        <v>1022</v>
      </c>
      <c r="H600" t="s">
        <v>1022</v>
      </c>
      <c r="I600" t="s">
        <v>1023</v>
      </c>
      <c r="J600" t="s">
        <v>1022</v>
      </c>
      <c r="K600" t="s">
        <v>1026</v>
      </c>
      <c r="L600">
        <v>5</v>
      </c>
      <c r="M600">
        <v>7</v>
      </c>
      <c r="N600">
        <v>6300000</v>
      </c>
      <c r="O600">
        <f>PropertyData[[#This Row],[Price]]/PropertyData[[#This Row],[Area_sqft]]</f>
        <v>9090.9090909090901</v>
      </c>
      <c r="P600" t="str">
        <f t="shared" si="9"/>
        <v>Mid-Range</v>
      </c>
    </row>
    <row r="601" spans="1:16">
      <c r="A601" t="s">
        <v>613</v>
      </c>
      <c r="B601" t="s">
        <v>1019</v>
      </c>
      <c r="C601">
        <v>1083</v>
      </c>
      <c r="D601">
        <v>2</v>
      </c>
      <c r="E601">
        <v>3</v>
      </c>
      <c r="F601">
        <v>27</v>
      </c>
      <c r="G601" t="s">
        <v>1022</v>
      </c>
      <c r="H601" t="s">
        <v>1023</v>
      </c>
      <c r="I601" t="s">
        <v>1023</v>
      </c>
      <c r="J601" t="s">
        <v>1022</v>
      </c>
      <c r="K601" t="s">
        <v>1024</v>
      </c>
      <c r="L601">
        <v>19</v>
      </c>
      <c r="M601">
        <v>20</v>
      </c>
      <c r="N601">
        <v>7700000</v>
      </c>
      <c r="O601">
        <f>PropertyData[[#This Row],[Price]]/PropertyData[[#This Row],[Area_sqft]]</f>
        <v>7109.8799630655585</v>
      </c>
      <c r="P601" t="str">
        <f t="shared" si="9"/>
        <v>Mid-Range</v>
      </c>
    </row>
    <row r="602" spans="1:16">
      <c r="A602" t="s">
        <v>614</v>
      </c>
      <c r="B602" t="s">
        <v>1019</v>
      </c>
      <c r="C602">
        <v>567</v>
      </c>
      <c r="D602">
        <v>1</v>
      </c>
      <c r="E602">
        <v>1</v>
      </c>
      <c r="F602">
        <v>17</v>
      </c>
      <c r="G602" t="s">
        <v>1022</v>
      </c>
      <c r="H602" t="s">
        <v>1022</v>
      </c>
      <c r="I602" t="s">
        <v>1023</v>
      </c>
      <c r="J602" t="s">
        <v>1022</v>
      </c>
      <c r="K602" t="s">
        <v>1025</v>
      </c>
      <c r="L602">
        <v>10</v>
      </c>
      <c r="M602">
        <v>20</v>
      </c>
      <c r="N602">
        <v>4250000</v>
      </c>
      <c r="O602">
        <f>PropertyData[[#This Row],[Price]]/PropertyData[[#This Row],[Area_sqft]]</f>
        <v>7495.5908289241625</v>
      </c>
      <c r="P602" t="str">
        <f t="shared" si="9"/>
        <v>Budget</v>
      </c>
    </row>
    <row r="603" spans="1:16">
      <c r="A603" t="s">
        <v>615</v>
      </c>
      <c r="B603" t="s">
        <v>1020</v>
      </c>
      <c r="C603">
        <v>2213</v>
      </c>
      <c r="D603">
        <v>5</v>
      </c>
      <c r="E603">
        <v>4</v>
      </c>
      <c r="F603">
        <v>19</v>
      </c>
      <c r="G603" t="s">
        <v>1022</v>
      </c>
      <c r="H603" t="s">
        <v>1023</v>
      </c>
      <c r="I603" t="s">
        <v>1023</v>
      </c>
      <c r="J603" t="s">
        <v>1023</v>
      </c>
      <c r="K603" t="s">
        <v>1025</v>
      </c>
      <c r="L603">
        <v>13</v>
      </c>
      <c r="M603">
        <v>17</v>
      </c>
      <c r="N603">
        <v>12200000</v>
      </c>
      <c r="O603">
        <f>PropertyData[[#This Row],[Price]]/PropertyData[[#This Row],[Area_sqft]]</f>
        <v>5512.8784455490286</v>
      </c>
      <c r="P603" t="str">
        <f t="shared" si="9"/>
        <v>Premium</v>
      </c>
    </row>
    <row r="604" spans="1:16">
      <c r="A604" t="s">
        <v>616</v>
      </c>
      <c r="B604" t="s">
        <v>1020</v>
      </c>
      <c r="C604">
        <v>1491</v>
      </c>
      <c r="D604">
        <v>3</v>
      </c>
      <c r="E604">
        <v>3</v>
      </c>
      <c r="F604">
        <v>10</v>
      </c>
      <c r="G604" t="s">
        <v>1022</v>
      </c>
      <c r="H604" t="s">
        <v>1023</v>
      </c>
      <c r="I604" t="s">
        <v>1023</v>
      </c>
      <c r="J604" t="s">
        <v>1022</v>
      </c>
      <c r="K604" t="s">
        <v>1025</v>
      </c>
      <c r="L604">
        <v>6</v>
      </c>
      <c r="M604">
        <v>23</v>
      </c>
      <c r="N604">
        <v>9050000</v>
      </c>
      <c r="O604">
        <f>PropertyData[[#This Row],[Price]]/PropertyData[[#This Row],[Area_sqft]]</f>
        <v>6069.7518443997315</v>
      </c>
      <c r="P604" t="str">
        <f t="shared" si="9"/>
        <v>Mid-Range</v>
      </c>
    </row>
    <row r="605" spans="1:16">
      <c r="A605" t="s">
        <v>617</v>
      </c>
      <c r="B605" t="s">
        <v>1016</v>
      </c>
      <c r="C605">
        <v>1178</v>
      </c>
      <c r="D605">
        <v>3</v>
      </c>
      <c r="E605">
        <v>3</v>
      </c>
      <c r="F605">
        <v>13</v>
      </c>
      <c r="G605" t="s">
        <v>1022</v>
      </c>
      <c r="H605" t="s">
        <v>1022</v>
      </c>
      <c r="I605" t="s">
        <v>1023</v>
      </c>
      <c r="J605" t="s">
        <v>1023</v>
      </c>
      <c r="K605" t="s">
        <v>1025</v>
      </c>
      <c r="L605">
        <v>19</v>
      </c>
      <c r="M605">
        <v>23</v>
      </c>
      <c r="N605">
        <v>5450000</v>
      </c>
      <c r="O605">
        <f>PropertyData[[#This Row],[Price]]/PropertyData[[#This Row],[Area_sqft]]</f>
        <v>4626.4855687606114</v>
      </c>
      <c r="P605" t="str">
        <f t="shared" si="9"/>
        <v>Mid-Range</v>
      </c>
    </row>
    <row r="606" spans="1:16">
      <c r="A606" t="s">
        <v>618</v>
      </c>
      <c r="B606" t="s">
        <v>1021</v>
      </c>
      <c r="C606">
        <v>1051</v>
      </c>
      <c r="D606">
        <v>2</v>
      </c>
      <c r="E606">
        <v>3</v>
      </c>
      <c r="F606">
        <v>16</v>
      </c>
      <c r="G606" t="s">
        <v>1023</v>
      </c>
      <c r="H606" t="s">
        <v>1022</v>
      </c>
      <c r="I606" t="s">
        <v>1023</v>
      </c>
      <c r="J606" t="s">
        <v>1022</v>
      </c>
      <c r="K606" t="s">
        <v>1025</v>
      </c>
      <c r="L606">
        <v>3</v>
      </c>
      <c r="M606">
        <v>17</v>
      </c>
      <c r="N606">
        <v>5200000</v>
      </c>
      <c r="O606">
        <f>PropertyData[[#This Row],[Price]]/PropertyData[[#This Row],[Area_sqft]]</f>
        <v>4947.6688867745006</v>
      </c>
      <c r="P606" t="str">
        <f t="shared" si="9"/>
        <v>Mid-Range</v>
      </c>
    </row>
    <row r="607" spans="1:16">
      <c r="A607" t="s">
        <v>619</v>
      </c>
      <c r="B607" t="s">
        <v>1019</v>
      </c>
      <c r="C607">
        <v>1493</v>
      </c>
      <c r="D607">
        <v>3</v>
      </c>
      <c r="E607">
        <v>3</v>
      </c>
      <c r="F607">
        <v>15</v>
      </c>
      <c r="G607" t="s">
        <v>1023</v>
      </c>
      <c r="H607" t="s">
        <v>1022</v>
      </c>
      <c r="I607" t="s">
        <v>1022</v>
      </c>
      <c r="J607" t="s">
        <v>1022</v>
      </c>
      <c r="K607" t="s">
        <v>1025</v>
      </c>
      <c r="L607">
        <v>8</v>
      </c>
      <c r="M607">
        <v>13</v>
      </c>
      <c r="N607">
        <v>12450000</v>
      </c>
      <c r="O607">
        <f>PropertyData[[#This Row],[Price]]/PropertyData[[#This Row],[Area_sqft]]</f>
        <v>8338.9149363697252</v>
      </c>
      <c r="P607" t="str">
        <f t="shared" si="9"/>
        <v>Premium</v>
      </c>
    </row>
    <row r="608" spans="1:16">
      <c r="A608" t="s">
        <v>620</v>
      </c>
      <c r="B608" t="s">
        <v>1019</v>
      </c>
      <c r="C608">
        <v>1334</v>
      </c>
      <c r="D608">
        <v>3</v>
      </c>
      <c r="E608">
        <v>3</v>
      </c>
      <c r="F608">
        <v>30</v>
      </c>
      <c r="G608" t="s">
        <v>1022</v>
      </c>
      <c r="H608" t="s">
        <v>1022</v>
      </c>
      <c r="I608" t="s">
        <v>1023</v>
      </c>
      <c r="J608" t="s">
        <v>1022</v>
      </c>
      <c r="K608" t="s">
        <v>1024</v>
      </c>
      <c r="L608">
        <v>16</v>
      </c>
      <c r="M608">
        <v>23</v>
      </c>
      <c r="N608">
        <v>8400000</v>
      </c>
      <c r="O608">
        <f>PropertyData[[#This Row],[Price]]/PropertyData[[#This Row],[Area_sqft]]</f>
        <v>6296.8515742128939</v>
      </c>
      <c r="P608" t="str">
        <f t="shared" si="9"/>
        <v>Mid-Range</v>
      </c>
    </row>
    <row r="609" spans="1:16">
      <c r="A609" t="s">
        <v>621</v>
      </c>
      <c r="B609" t="s">
        <v>1015</v>
      </c>
      <c r="C609">
        <v>1354</v>
      </c>
      <c r="D609">
        <v>3</v>
      </c>
      <c r="E609">
        <v>3</v>
      </c>
      <c r="F609">
        <v>14</v>
      </c>
      <c r="G609" t="s">
        <v>1022</v>
      </c>
      <c r="H609" t="s">
        <v>1022</v>
      </c>
      <c r="I609" t="s">
        <v>1023</v>
      </c>
      <c r="J609" t="s">
        <v>1023</v>
      </c>
      <c r="K609" t="s">
        <v>1025</v>
      </c>
      <c r="L609">
        <v>9</v>
      </c>
      <c r="M609">
        <v>18</v>
      </c>
      <c r="N609">
        <v>4400000</v>
      </c>
      <c r="O609">
        <f>PropertyData[[#This Row],[Price]]/PropertyData[[#This Row],[Area_sqft]]</f>
        <v>3249.6307237813885</v>
      </c>
      <c r="P609" t="str">
        <f t="shared" si="9"/>
        <v>Budget</v>
      </c>
    </row>
    <row r="610" spans="1:16">
      <c r="A610" t="s">
        <v>622</v>
      </c>
      <c r="B610" t="s">
        <v>1016</v>
      </c>
      <c r="C610">
        <v>1045</v>
      </c>
      <c r="D610">
        <v>2</v>
      </c>
      <c r="E610">
        <v>2</v>
      </c>
      <c r="F610">
        <v>27</v>
      </c>
      <c r="G610" t="s">
        <v>1022</v>
      </c>
      <c r="H610" t="s">
        <v>1023</v>
      </c>
      <c r="I610" t="s">
        <v>1023</v>
      </c>
      <c r="J610" t="s">
        <v>1022</v>
      </c>
      <c r="K610" t="s">
        <v>1025</v>
      </c>
      <c r="L610">
        <v>14</v>
      </c>
      <c r="M610">
        <v>23</v>
      </c>
      <c r="N610">
        <v>3950000</v>
      </c>
      <c r="O610">
        <f>PropertyData[[#This Row],[Price]]/PropertyData[[#This Row],[Area_sqft]]</f>
        <v>3779.9043062200958</v>
      </c>
      <c r="P610" t="str">
        <f t="shared" si="9"/>
        <v>Budget</v>
      </c>
    </row>
    <row r="611" spans="1:16">
      <c r="A611" t="s">
        <v>623</v>
      </c>
      <c r="B611" t="s">
        <v>1020</v>
      </c>
      <c r="C611">
        <v>1425</v>
      </c>
      <c r="D611">
        <v>4</v>
      </c>
      <c r="E611">
        <v>4</v>
      </c>
      <c r="F611">
        <v>5</v>
      </c>
      <c r="G611" t="s">
        <v>1022</v>
      </c>
      <c r="H611" t="s">
        <v>1022</v>
      </c>
      <c r="I611" t="s">
        <v>1023</v>
      </c>
      <c r="J611" t="s">
        <v>1022</v>
      </c>
      <c r="K611" t="s">
        <v>1025</v>
      </c>
      <c r="L611">
        <v>4</v>
      </c>
      <c r="M611">
        <v>4</v>
      </c>
      <c r="N611">
        <v>10050000</v>
      </c>
      <c r="O611">
        <f>PropertyData[[#This Row],[Price]]/PropertyData[[#This Row],[Area_sqft]]</f>
        <v>7052.6315789473683</v>
      </c>
      <c r="P611" t="str">
        <f t="shared" si="9"/>
        <v>Premium</v>
      </c>
    </row>
    <row r="612" spans="1:16">
      <c r="A612" t="s">
        <v>624</v>
      </c>
      <c r="B612" t="s">
        <v>1021</v>
      </c>
      <c r="C612">
        <v>1488</v>
      </c>
      <c r="D612">
        <v>4</v>
      </c>
      <c r="E612">
        <v>4</v>
      </c>
      <c r="F612">
        <v>23</v>
      </c>
      <c r="G612" t="s">
        <v>1022</v>
      </c>
      <c r="H612" t="s">
        <v>1023</v>
      </c>
      <c r="I612" t="s">
        <v>1023</v>
      </c>
      <c r="J612" t="s">
        <v>1022</v>
      </c>
      <c r="K612" t="s">
        <v>1025</v>
      </c>
      <c r="L612">
        <v>6</v>
      </c>
      <c r="M612">
        <v>6</v>
      </c>
      <c r="N612">
        <v>7400000</v>
      </c>
      <c r="O612">
        <f>PropertyData[[#This Row],[Price]]/PropertyData[[#This Row],[Area_sqft]]</f>
        <v>4973.1182795698924</v>
      </c>
      <c r="P612" t="str">
        <f t="shared" si="9"/>
        <v>Mid-Range</v>
      </c>
    </row>
    <row r="613" spans="1:16">
      <c r="A613" t="s">
        <v>625</v>
      </c>
      <c r="B613" t="s">
        <v>1015</v>
      </c>
      <c r="C613">
        <v>969</v>
      </c>
      <c r="D613">
        <v>2</v>
      </c>
      <c r="E613">
        <v>3</v>
      </c>
      <c r="F613">
        <v>13</v>
      </c>
      <c r="G613" t="s">
        <v>1022</v>
      </c>
      <c r="H613" t="s">
        <v>1023</v>
      </c>
      <c r="I613" t="s">
        <v>1022</v>
      </c>
      <c r="J613" t="s">
        <v>1022</v>
      </c>
      <c r="K613" t="s">
        <v>1025</v>
      </c>
      <c r="L613">
        <v>7</v>
      </c>
      <c r="M613">
        <v>16</v>
      </c>
      <c r="N613">
        <v>3150000</v>
      </c>
      <c r="O613">
        <f>PropertyData[[#This Row],[Price]]/PropertyData[[#This Row],[Area_sqft]]</f>
        <v>3250.7739938080495</v>
      </c>
      <c r="P613" t="str">
        <f t="shared" si="9"/>
        <v>Budget</v>
      </c>
    </row>
    <row r="614" spans="1:16">
      <c r="A614" t="s">
        <v>626</v>
      </c>
      <c r="B614" t="s">
        <v>1018</v>
      </c>
      <c r="C614">
        <v>1388</v>
      </c>
      <c r="D614">
        <v>3</v>
      </c>
      <c r="E614">
        <v>4</v>
      </c>
      <c r="F614">
        <v>14</v>
      </c>
      <c r="G614" t="s">
        <v>1022</v>
      </c>
      <c r="H614" t="s">
        <v>1022</v>
      </c>
      <c r="I614" t="s">
        <v>1022</v>
      </c>
      <c r="J614" t="s">
        <v>1023</v>
      </c>
      <c r="K614" t="s">
        <v>1025</v>
      </c>
      <c r="L614">
        <v>5</v>
      </c>
      <c r="M614">
        <v>13</v>
      </c>
      <c r="N614">
        <v>7200000</v>
      </c>
      <c r="O614">
        <f>PropertyData[[#This Row],[Price]]/PropertyData[[#This Row],[Area_sqft]]</f>
        <v>5187.3198847262247</v>
      </c>
      <c r="P614" t="str">
        <f t="shared" si="9"/>
        <v>Mid-Range</v>
      </c>
    </row>
    <row r="615" spans="1:16">
      <c r="A615" t="s">
        <v>627</v>
      </c>
      <c r="B615" t="s">
        <v>1015</v>
      </c>
      <c r="C615">
        <v>1680</v>
      </c>
      <c r="D615">
        <v>4</v>
      </c>
      <c r="E615">
        <v>3</v>
      </c>
      <c r="F615">
        <v>24</v>
      </c>
      <c r="G615" t="s">
        <v>1022</v>
      </c>
      <c r="H615" t="s">
        <v>1023</v>
      </c>
      <c r="I615" t="s">
        <v>1023</v>
      </c>
      <c r="J615" t="s">
        <v>1023</v>
      </c>
      <c r="K615" t="s">
        <v>1024</v>
      </c>
      <c r="L615">
        <v>19</v>
      </c>
      <c r="M615">
        <v>22</v>
      </c>
      <c r="N615">
        <v>5350000</v>
      </c>
      <c r="O615">
        <f>PropertyData[[#This Row],[Price]]/PropertyData[[#This Row],[Area_sqft]]</f>
        <v>3184.5238095238096</v>
      </c>
      <c r="P615" t="str">
        <f t="shared" si="9"/>
        <v>Mid-Range</v>
      </c>
    </row>
    <row r="616" spans="1:16">
      <c r="A616" t="s">
        <v>628</v>
      </c>
      <c r="B616" t="s">
        <v>1021</v>
      </c>
      <c r="C616">
        <v>1051</v>
      </c>
      <c r="D616">
        <v>3</v>
      </c>
      <c r="E616">
        <v>2</v>
      </c>
      <c r="F616">
        <v>16</v>
      </c>
      <c r="G616" t="s">
        <v>1022</v>
      </c>
      <c r="H616" t="s">
        <v>1022</v>
      </c>
      <c r="I616" t="s">
        <v>1023</v>
      </c>
      <c r="J616" t="s">
        <v>1022</v>
      </c>
      <c r="K616" t="s">
        <v>1025</v>
      </c>
      <c r="L616">
        <v>18</v>
      </c>
      <c r="M616">
        <v>21</v>
      </c>
      <c r="N616">
        <v>5900000</v>
      </c>
      <c r="O616">
        <f>PropertyData[[#This Row],[Price]]/PropertyData[[#This Row],[Area_sqft]]</f>
        <v>5613.7012369172216</v>
      </c>
      <c r="P616" t="str">
        <f t="shared" si="9"/>
        <v>Mid-Range</v>
      </c>
    </row>
    <row r="617" spans="1:16">
      <c r="A617" t="s">
        <v>629</v>
      </c>
      <c r="B617" t="s">
        <v>1020</v>
      </c>
      <c r="C617">
        <v>1973</v>
      </c>
      <c r="D617">
        <v>5</v>
      </c>
      <c r="E617">
        <v>4</v>
      </c>
      <c r="F617">
        <v>5</v>
      </c>
      <c r="G617" t="s">
        <v>1022</v>
      </c>
      <c r="H617" t="s">
        <v>1023</v>
      </c>
      <c r="I617" t="s">
        <v>1023</v>
      </c>
      <c r="J617" t="s">
        <v>1022</v>
      </c>
      <c r="K617" t="s">
        <v>1025</v>
      </c>
      <c r="L617">
        <v>9</v>
      </c>
      <c r="M617">
        <v>14</v>
      </c>
      <c r="N617">
        <v>11600000</v>
      </c>
      <c r="O617">
        <f>PropertyData[[#This Row],[Price]]/PropertyData[[#This Row],[Area_sqft]]</f>
        <v>5879.3715154586926</v>
      </c>
      <c r="P617" t="str">
        <f t="shared" si="9"/>
        <v>Premium</v>
      </c>
    </row>
    <row r="618" spans="1:16">
      <c r="A618" t="s">
        <v>630</v>
      </c>
      <c r="B618" t="s">
        <v>1016</v>
      </c>
      <c r="C618">
        <v>1453</v>
      </c>
      <c r="D618">
        <v>3</v>
      </c>
      <c r="E618">
        <v>4</v>
      </c>
      <c r="F618">
        <v>21</v>
      </c>
      <c r="G618" t="s">
        <v>1022</v>
      </c>
      <c r="H618" t="s">
        <v>1023</v>
      </c>
      <c r="I618" t="s">
        <v>1022</v>
      </c>
      <c r="J618" t="s">
        <v>1022</v>
      </c>
      <c r="K618" t="s">
        <v>1025</v>
      </c>
      <c r="L618">
        <v>9</v>
      </c>
      <c r="M618">
        <v>19</v>
      </c>
      <c r="N618">
        <v>6200000</v>
      </c>
      <c r="O618">
        <f>PropertyData[[#This Row],[Price]]/PropertyData[[#This Row],[Area_sqft]]</f>
        <v>4267.0337233310393</v>
      </c>
      <c r="P618" t="str">
        <f t="shared" si="9"/>
        <v>Mid-Range</v>
      </c>
    </row>
    <row r="619" spans="1:16">
      <c r="A619" t="s">
        <v>631</v>
      </c>
      <c r="B619" t="s">
        <v>1017</v>
      </c>
      <c r="C619">
        <v>1202</v>
      </c>
      <c r="D619">
        <v>2</v>
      </c>
      <c r="E619">
        <v>3</v>
      </c>
      <c r="F619">
        <v>30</v>
      </c>
      <c r="G619" t="s">
        <v>1022</v>
      </c>
      <c r="H619" t="s">
        <v>1022</v>
      </c>
      <c r="I619" t="s">
        <v>1023</v>
      </c>
      <c r="J619" t="s">
        <v>1022</v>
      </c>
      <c r="K619" t="s">
        <v>1025</v>
      </c>
      <c r="L619">
        <v>17</v>
      </c>
      <c r="M619">
        <v>21</v>
      </c>
      <c r="N619">
        <v>3450000</v>
      </c>
      <c r="O619">
        <f>PropertyData[[#This Row],[Price]]/PropertyData[[#This Row],[Area_sqft]]</f>
        <v>2870.2163061564061</v>
      </c>
      <c r="P619" t="str">
        <f t="shared" si="9"/>
        <v>Budget</v>
      </c>
    </row>
    <row r="620" spans="1:16">
      <c r="A620" t="s">
        <v>632</v>
      </c>
      <c r="B620" t="s">
        <v>1021</v>
      </c>
      <c r="C620">
        <v>1403</v>
      </c>
      <c r="D620">
        <v>3</v>
      </c>
      <c r="E620">
        <v>4</v>
      </c>
      <c r="F620">
        <v>4</v>
      </c>
      <c r="G620" t="s">
        <v>1022</v>
      </c>
      <c r="H620" t="s">
        <v>1022</v>
      </c>
      <c r="I620" t="s">
        <v>1022</v>
      </c>
      <c r="J620" t="s">
        <v>1023</v>
      </c>
      <c r="K620" t="s">
        <v>1025</v>
      </c>
      <c r="L620">
        <v>4</v>
      </c>
      <c r="M620">
        <v>22</v>
      </c>
      <c r="N620">
        <v>9600000</v>
      </c>
      <c r="O620">
        <f>PropertyData[[#This Row],[Price]]/PropertyData[[#This Row],[Area_sqft]]</f>
        <v>6842.4803991446897</v>
      </c>
      <c r="P620" t="str">
        <f t="shared" si="9"/>
        <v>Mid-Range</v>
      </c>
    </row>
    <row r="621" spans="1:16">
      <c r="A621" t="s">
        <v>633</v>
      </c>
      <c r="B621" t="s">
        <v>1019</v>
      </c>
      <c r="C621">
        <v>1210</v>
      </c>
      <c r="D621">
        <v>3</v>
      </c>
      <c r="E621">
        <v>3</v>
      </c>
      <c r="F621">
        <v>11</v>
      </c>
      <c r="G621" t="s">
        <v>1022</v>
      </c>
      <c r="H621" t="s">
        <v>1023</v>
      </c>
      <c r="I621" t="s">
        <v>1023</v>
      </c>
      <c r="J621" t="s">
        <v>1022</v>
      </c>
      <c r="K621" t="s">
        <v>1025</v>
      </c>
      <c r="L621">
        <v>9</v>
      </c>
      <c r="M621">
        <v>21</v>
      </c>
      <c r="N621">
        <v>8600000</v>
      </c>
      <c r="O621">
        <f>PropertyData[[#This Row],[Price]]/PropertyData[[#This Row],[Area_sqft]]</f>
        <v>7107.4380165289258</v>
      </c>
      <c r="P621" t="str">
        <f t="shared" si="9"/>
        <v>Mid-Range</v>
      </c>
    </row>
    <row r="622" spans="1:16">
      <c r="A622" t="s">
        <v>634</v>
      </c>
      <c r="B622" t="s">
        <v>1021</v>
      </c>
      <c r="C622">
        <v>1409</v>
      </c>
      <c r="D622">
        <v>4</v>
      </c>
      <c r="E622">
        <v>4</v>
      </c>
      <c r="F622">
        <v>29</v>
      </c>
      <c r="G622" t="s">
        <v>1022</v>
      </c>
      <c r="H622" t="s">
        <v>1022</v>
      </c>
      <c r="I622" t="s">
        <v>1022</v>
      </c>
      <c r="J622" t="s">
        <v>1022</v>
      </c>
      <c r="K622" t="s">
        <v>1025</v>
      </c>
      <c r="L622">
        <v>20</v>
      </c>
      <c r="M622">
        <v>24</v>
      </c>
      <c r="N622">
        <v>7850000</v>
      </c>
      <c r="O622">
        <f>PropertyData[[#This Row],[Price]]/PropertyData[[#This Row],[Area_sqft]]</f>
        <v>5571.3271823988644</v>
      </c>
      <c r="P622" t="str">
        <f t="shared" si="9"/>
        <v>Mid-Range</v>
      </c>
    </row>
    <row r="623" spans="1:16">
      <c r="A623" t="s">
        <v>635</v>
      </c>
      <c r="B623" t="s">
        <v>1021</v>
      </c>
      <c r="C623">
        <v>1398</v>
      </c>
      <c r="D623">
        <v>3</v>
      </c>
      <c r="E623">
        <v>3</v>
      </c>
      <c r="F623">
        <v>17</v>
      </c>
      <c r="G623" t="s">
        <v>1022</v>
      </c>
      <c r="H623" t="s">
        <v>1022</v>
      </c>
      <c r="I623" t="s">
        <v>1023</v>
      </c>
      <c r="J623" t="s">
        <v>1022</v>
      </c>
      <c r="K623" t="s">
        <v>1024</v>
      </c>
      <c r="L623">
        <v>7</v>
      </c>
      <c r="M623">
        <v>22</v>
      </c>
      <c r="N623">
        <v>9900000</v>
      </c>
      <c r="O623">
        <f>PropertyData[[#This Row],[Price]]/PropertyData[[#This Row],[Area_sqft]]</f>
        <v>7081.5450643776821</v>
      </c>
      <c r="P623" t="str">
        <f t="shared" si="9"/>
        <v>Mid-Range</v>
      </c>
    </row>
    <row r="624" spans="1:16">
      <c r="A624" t="s">
        <v>636</v>
      </c>
      <c r="B624" t="s">
        <v>1015</v>
      </c>
      <c r="C624">
        <v>1406</v>
      </c>
      <c r="D624">
        <v>3</v>
      </c>
      <c r="E624">
        <v>4</v>
      </c>
      <c r="F624">
        <v>16</v>
      </c>
      <c r="G624" t="s">
        <v>1022</v>
      </c>
      <c r="H624" t="s">
        <v>1023</v>
      </c>
      <c r="I624" t="s">
        <v>1022</v>
      </c>
      <c r="J624" t="s">
        <v>1022</v>
      </c>
      <c r="K624" t="s">
        <v>1025</v>
      </c>
      <c r="L624">
        <v>5</v>
      </c>
      <c r="M624">
        <v>15</v>
      </c>
      <c r="N624">
        <v>5250000</v>
      </c>
      <c r="O624">
        <f>PropertyData[[#This Row],[Price]]/PropertyData[[#This Row],[Area_sqft]]</f>
        <v>3733.9971550497867</v>
      </c>
      <c r="P624" t="str">
        <f t="shared" si="9"/>
        <v>Mid-Range</v>
      </c>
    </row>
    <row r="625" spans="1:16">
      <c r="A625" t="s">
        <v>637</v>
      </c>
      <c r="B625" t="s">
        <v>1016</v>
      </c>
      <c r="C625">
        <v>1087</v>
      </c>
      <c r="D625">
        <v>3</v>
      </c>
      <c r="E625">
        <v>2</v>
      </c>
      <c r="F625">
        <v>22</v>
      </c>
      <c r="G625" t="s">
        <v>1022</v>
      </c>
      <c r="H625" t="s">
        <v>1022</v>
      </c>
      <c r="I625" t="s">
        <v>1023</v>
      </c>
      <c r="J625" t="s">
        <v>1022</v>
      </c>
      <c r="K625" t="s">
        <v>1025</v>
      </c>
      <c r="L625">
        <v>11</v>
      </c>
      <c r="M625">
        <v>14</v>
      </c>
      <c r="N625">
        <v>5350000</v>
      </c>
      <c r="O625">
        <f>PropertyData[[#This Row],[Price]]/PropertyData[[#This Row],[Area_sqft]]</f>
        <v>4921.8031278748849</v>
      </c>
      <c r="P625" t="str">
        <f t="shared" si="9"/>
        <v>Mid-Range</v>
      </c>
    </row>
    <row r="626" spans="1:16">
      <c r="A626" t="s">
        <v>638</v>
      </c>
      <c r="B626" t="s">
        <v>1021</v>
      </c>
      <c r="C626">
        <v>867</v>
      </c>
      <c r="D626">
        <v>2</v>
      </c>
      <c r="E626">
        <v>2</v>
      </c>
      <c r="F626">
        <v>3</v>
      </c>
      <c r="G626" t="s">
        <v>1022</v>
      </c>
      <c r="H626" t="s">
        <v>1022</v>
      </c>
      <c r="I626" t="s">
        <v>1023</v>
      </c>
      <c r="J626" t="s">
        <v>1022</v>
      </c>
      <c r="K626" t="s">
        <v>1025</v>
      </c>
      <c r="L626">
        <v>17</v>
      </c>
      <c r="M626">
        <v>20</v>
      </c>
      <c r="N626">
        <v>6600000</v>
      </c>
      <c r="O626">
        <f>PropertyData[[#This Row],[Price]]/PropertyData[[#This Row],[Area_sqft]]</f>
        <v>7612.4567474048445</v>
      </c>
      <c r="P626" t="str">
        <f t="shared" si="9"/>
        <v>Mid-Range</v>
      </c>
    </row>
    <row r="627" spans="1:16">
      <c r="A627" t="s">
        <v>639</v>
      </c>
      <c r="B627" t="s">
        <v>1021</v>
      </c>
      <c r="C627">
        <v>1642</v>
      </c>
      <c r="D627">
        <v>4</v>
      </c>
      <c r="E627">
        <v>4</v>
      </c>
      <c r="F627">
        <v>25</v>
      </c>
      <c r="G627" t="s">
        <v>1022</v>
      </c>
      <c r="H627" t="s">
        <v>1022</v>
      </c>
      <c r="I627" t="s">
        <v>1023</v>
      </c>
      <c r="J627" t="s">
        <v>1022</v>
      </c>
      <c r="K627" t="s">
        <v>1025</v>
      </c>
      <c r="L627">
        <v>1</v>
      </c>
      <c r="M627">
        <v>5</v>
      </c>
      <c r="N627">
        <v>8400000</v>
      </c>
      <c r="O627">
        <f>PropertyData[[#This Row],[Price]]/PropertyData[[#This Row],[Area_sqft]]</f>
        <v>5115.712545676005</v>
      </c>
      <c r="P627" t="str">
        <f t="shared" si="9"/>
        <v>Mid-Range</v>
      </c>
    </row>
    <row r="628" spans="1:16">
      <c r="A628" t="s">
        <v>640</v>
      </c>
      <c r="B628" t="s">
        <v>1017</v>
      </c>
      <c r="C628">
        <v>1414</v>
      </c>
      <c r="D628">
        <v>3</v>
      </c>
      <c r="E628">
        <v>2</v>
      </c>
      <c r="F628">
        <v>21</v>
      </c>
      <c r="G628" t="s">
        <v>1023</v>
      </c>
      <c r="H628" t="s">
        <v>1023</v>
      </c>
      <c r="I628" t="s">
        <v>1023</v>
      </c>
      <c r="J628" t="s">
        <v>1022</v>
      </c>
      <c r="K628" t="s">
        <v>1026</v>
      </c>
      <c r="L628">
        <v>5</v>
      </c>
      <c r="M628">
        <v>15</v>
      </c>
      <c r="N628">
        <v>5350000</v>
      </c>
      <c r="O628">
        <f>PropertyData[[#This Row],[Price]]/PropertyData[[#This Row],[Area_sqft]]</f>
        <v>3783.5926449787835</v>
      </c>
      <c r="P628" t="str">
        <f t="shared" si="9"/>
        <v>Mid-Range</v>
      </c>
    </row>
    <row r="629" spans="1:16">
      <c r="A629" t="s">
        <v>641</v>
      </c>
      <c r="B629" t="s">
        <v>1014</v>
      </c>
      <c r="C629">
        <v>1344</v>
      </c>
      <c r="D629">
        <v>3</v>
      </c>
      <c r="E629">
        <v>3</v>
      </c>
      <c r="F629">
        <v>28</v>
      </c>
      <c r="G629" t="s">
        <v>1023</v>
      </c>
      <c r="H629" t="s">
        <v>1023</v>
      </c>
      <c r="I629" t="s">
        <v>1023</v>
      </c>
      <c r="J629" t="s">
        <v>1022</v>
      </c>
      <c r="K629" t="s">
        <v>1025</v>
      </c>
      <c r="L629">
        <v>19</v>
      </c>
      <c r="M629">
        <v>24</v>
      </c>
      <c r="N629">
        <v>8650000</v>
      </c>
      <c r="O629">
        <f>PropertyData[[#This Row],[Price]]/PropertyData[[#This Row],[Area_sqft]]</f>
        <v>6436.0119047619046</v>
      </c>
      <c r="P629" t="str">
        <f t="shared" si="9"/>
        <v>Mid-Range</v>
      </c>
    </row>
    <row r="630" spans="1:16">
      <c r="A630" t="s">
        <v>642</v>
      </c>
      <c r="B630" t="s">
        <v>1020</v>
      </c>
      <c r="C630">
        <v>1099</v>
      </c>
      <c r="D630">
        <v>3</v>
      </c>
      <c r="E630">
        <v>3</v>
      </c>
      <c r="F630">
        <v>12</v>
      </c>
      <c r="G630" t="s">
        <v>1023</v>
      </c>
      <c r="H630" t="s">
        <v>1023</v>
      </c>
      <c r="I630" t="s">
        <v>1023</v>
      </c>
      <c r="J630" t="s">
        <v>1022</v>
      </c>
      <c r="K630" t="s">
        <v>1024</v>
      </c>
      <c r="L630">
        <v>1</v>
      </c>
      <c r="M630">
        <v>6</v>
      </c>
      <c r="N630">
        <v>6550000</v>
      </c>
      <c r="O630">
        <f>PropertyData[[#This Row],[Price]]/PropertyData[[#This Row],[Area_sqft]]</f>
        <v>5959.9636032757053</v>
      </c>
      <c r="P630" t="str">
        <f t="shared" si="9"/>
        <v>Mid-Range</v>
      </c>
    </row>
    <row r="631" spans="1:16">
      <c r="A631" t="s">
        <v>643</v>
      </c>
      <c r="B631" t="s">
        <v>1015</v>
      </c>
      <c r="C631">
        <v>1176</v>
      </c>
      <c r="D631">
        <v>1</v>
      </c>
      <c r="E631">
        <v>1</v>
      </c>
      <c r="F631">
        <v>9</v>
      </c>
      <c r="G631" t="s">
        <v>1022</v>
      </c>
      <c r="H631" t="s">
        <v>1022</v>
      </c>
      <c r="I631" t="s">
        <v>1022</v>
      </c>
      <c r="J631" t="s">
        <v>1022</v>
      </c>
      <c r="K631" t="s">
        <v>1025</v>
      </c>
      <c r="L631">
        <v>17</v>
      </c>
      <c r="M631">
        <v>20</v>
      </c>
      <c r="N631">
        <v>4750000</v>
      </c>
      <c r="O631">
        <f>PropertyData[[#This Row],[Price]]/PropertyData[[#This Row],[Area_sqft]]</f>
        <v>4039.1156462585036</v>
      </c>
      <c r="P631" t="str">
        <f t="shared" si="9"/>
        <v>Budget</v>
      </c>
    </row>
    <row r="632" spans="1:16">
      <c r="A632" t="s">
        <v>644</v>
      </c>
      <c r="B632" t="s">
        <v>1021</v>
      </c>
      <c r="C632">
        <v>1081</v>
      </c>
      <c r="D632">
        <v>2</v>
      </c>
      <c r="E632">
        <v>1</v>
      </c>
      <c r="F632">
        <v>23</v>
      </c>
      <c r="G632" t="s">
        <v>1022</v>
      </c>
      <c r="H632" t="s">
        <v>1023</v>
      </c>
      <c r="I632" t="s">
        <v>1022</v>
      </c>
      <c r="J632" t="s">
        <v>1022</v>
      </c>
      <c r="K632" t="s">
        <v>1025</v>
      </c>
      <c r="L632">
        <v>18</v>
      </c>
      <c r="M632">
        <v>22</v>
      </c>
      <c r="N632">
        <v>6150000</v>
      </c>
      <c r="O632">
        <f>PropertyData[[#This Row],[Price]]/PropertyData[[#This Row],[Area_sqft]]</f>
        <v>5689.1766882516185</v>
      </c>
      <c r="P632" t="str">
        <f t="shared" si="9"/>
        <v>Mid-Range</v>
      </c>
    </row>
    <row r="633" spans="1:16">
      <c r="A633" t="s">
        <v>645</v>
      </c>
      <c r="B633" t="s">
        <v>1014</v>
      </c>
      <c r="C633">
        <v>1841</v>
      </c>
      <c r="D633">
        <v>4</v>
      </c>
      <c r="E633">
        <v>5</v>
      </c>
      <c r="F633">
        <v>1</v>
      </c>
      <c r="G633" t="s">
        <v>1023</v>
      </c>
      <c r="H633" t="s">
        <v>1022</v>
      </c>
      <c r="I633" t="s">
        <v>1023</v>
      </c>
      <c r="J633" t="s">
        <v>1022</v>
      </c>
      <c r="K633" t="s">
        <v>1025</v>
      </c>
      <c r="L633">
        <v>1</v>
      </c>
      <c r="M633">
        <v>5</v>
      </c>
      <c r="N633">
        <v>15750000</v>
      </c>
      <c r="O633">
        <f>PropertyData[[#This Row],[Price]]/PropertyData[[#This Row],[Area_sqft]]</f>
        <v>8555.1330798479084</v>
      </c>
      <c r="P633" t="str">
        <f t="shared" si="9"/>
        <v>Premium</v>
      </c>
    </row>
    <row r="634" spans="1:16">
      <c r="A634" t="s">
        <v>646</v>
      </c>
      <c r="B634" t="s">
        <v>1014</v>
      </c>
      <c r="C634">
        <v>1249</v>
      </c>
      <c r="D634">
        <v>3</v>
      </c>
      <c r="E634">
        <v>2</v>
      </c>
      <c r="F634">
        <v>12</v>
      </c>
      <c r="G634" t="s">
        <v>1022</v>
      </c>
      <c r="H634" t="s">
        <v>1022</v>
      </c>
      <c r="I634" t="s">
        <v>1023</v>
      </c>
      <c r="J634" t="s">
        <v>1023</v>
      </c>
      <c r="K634" t="s">
        <v>1025</v>
      </c>
      <c r="L634">
        <v>20</v>
      </c>
      <c r="M634">
        <v>21</v>
      </c>
      <c r="N634">
        <v>8100000</v>
      </c>
      <c r="O634">
        <f>PropertyData[[#This Row],[Price]]/PropertyData[[#This Row],[Area_sqft]]</f>
        <v>6485.1881505204165</v>
      </c>
      <c r="P634" t="str">
        <f t="shared" si="9"/>
        <v>Mid-Range</v>
      </c>
    </row>
    <row r="635" spans="1:16">
      <c r="A635" t="s">
        <v>647</v>
      </c>
      <c r="B635" t="s">
        <v>1016</v>
      </c>
      <c r="C635">
        <v>1368</v>
      </c>
      <c r="D635">
        <v>3</v>
      </c>
      <c r="E635">
        <v>3</v>
      </c>
      <c r="F635">
        <v>18</v>
      </c>
      <c r="G635" t="s">
        <v>1023</v>
      </c>
      <c r="H635" t="s">
        <v>1023</v>
      </c>
      <c r="I635" t="s">
        <v>1023</v>
      </c>
      <c r="J635" t="s">
        <v>1022</v>
      </c>
      <c r="K635" t="s">
        <v>1024</v>
      </c>
      <c r="L635">
        <v>18</v>
      </c>
      <c r="M635">
        <v>18</v>
      </c>
      <c r="N635">
        <v>4950000</v>
      </c>
      <c r="O635">
        <f>PropertyData[[#This Row],[Price]]/PropertyData[[#This Row],[Area_sqft]]</f>
        <v>3618.4210526315787</v>
      </c>
      <c r="P635" t="str">
        <f t="shared" si="9"/>
        <v>Budget</v>
      </c>
    </row>
    <row r="636" spans="1:16">
      <c r="A636" t="s">
        <v>648</v>
      </c>
      <c r="B636" t="s">
        <v>1017</v>
      </c>
      <c r="C636">
        <v>997</v>
      </c>
      <c r="D636">
        <v>2</v>
      </c>
      <c r="E636">
        <v>3</v>
      </c>
      <c r="F636">
        <v>10</v>
      </c>
      <c r="G636" t="s">
        <v>1022</v>
      </c>
      <c r="H636" t="s">
        <v>1022</v>
      </c>
      <c r="I636" t="s">
        <v>1022</v>
      </c>
      <c r="J636" t="s">
        <v>1022</v>
      </c>
      <c r="K636" t="s">
        <v>1025</v>
      </c>
      <c r="L636">
        <v>8</v>
      </c>
      <c r="M636">
        <v>17</v>
      </c>
      <c r="N636">
        <v>4150000</v>
      </c>
      <c r="O636">
        <f>PropertyData[[#This Row],[Price]]/PropertyData[[#This Row],[Area_sqft]]</f>
        <v>4162.487462387161</v>
      </c>
      <c r="P636" t="str">
        <f t="shared" si="9"/>
        <v>Budget</v>
      </c>
    </row>
    <row r="637" spans="1:16">
      <c r="A637" t="s">
        <v>649</v>
      </c>
      <c r="B637" t="s">
        <v>1017</v>
      </c>
      <c r="C637">
        <v>971</v>
      </c>
      <c r="D637">
        <v>2</v>
      </c>
      <c r="E637">
        <v>2</v>
      </c>
      <c r="F637">
        <v>8</v>
      </c>
      <c r="G637" t="s">
        <v>1022</v>
      </c>
      <c r="H637" t="s">
        <v>1022</v>
      </c>
      <c r="I637" t="s">
        <v>1023</v>
      </c>
      <c r="J637" t="s">
        <v>1022</v>
      </c>
      <c r="K637" t="s">
        <v>1025</v>
      </c>
      <c r="L637">
        <v>20</v>
      </c>
      <c r="M637">
        <v>22</v>
      </c>
      <c r="N637">
        <v>4250000</v>
      </c>
      <c r="O637">
        <f>PropertyData[[#This Row],[Price]]/PropertyData[[#This Row],[Area_sqft]]</f>
        <v>4376.9309989701342</v>
      </c>
      <c r="P637" t="str">
        <f t="shared" si="9"/>
        <v>Budget</v>
      </c>
    </row>
    <row r="638" spans="1:16">
      <c r="A638" t="s">
        <v>650</v>
      </c>
      <c r="B638" t="s">
        <v>1014</v>
      </c>
      <c r="C638">
        <v>1067</v>
      </c>
      <c r="D638">
        <v>2</v>
      </c>
      <c r="E638">
        <v>2</v>
      </c>
      <c r="F638">
        <v>4</v>
      </c>
      <c r="G638" t="s">
        <v>1022</v>
      </c>
      <c r="H638" t="s">
        <v>1022</v>
      </c>
      <c r="I638" t="s">
        <v>1023</v>
      </c>
      <c r="J638" t="s">
        <v>1022</v>
      </c>
      <c r="K638" t="s">
        <v>1026</v>
      </c>
      <c r="L638">
        <v>14</v>
      </c>
      <c r="M638">
        <v>16</v>
      </c>
      <c r="N638">
        <v>11750000</v>
      </c>
      <c r="O638">
        <f>PropertyData[[#This Row],[Price]]/PropertyData[[#This Row],[Area_sqft]]</f>
        <v>11012.183692596063</v>
      </c>
      <c r="P638" t="str">
        <f t="shared" si="9"/>
        <v>Premium</v>
      </c>
    </row>
    <row r="639" spans="1:16">
      <c r="A639" t="s">
        <v>651</v>
      </c>
      <c r="B639" t="s">
        <v>1017</v>
      </c>
      <c r="C639">
        <v>1330</v>
      </c>
      <c r="D639">
        <v>3</v>
      </c>
      <c r="E639">
        <v>4</v>
      </c>
      <c r="F639">
        <v>19</v>
      </c>
      <c r="G639" t="s">
        <v>1022</v>
      </c>
      <c r="H639" t="s">
        <v>1023</v>
      </c>
      <c r="I639" t="s">
        <v>1023</v>
      </c>
      <c r="J639" t="s">
        <v>1022</v>
      </c>
      <c r="K639" t="s">
        <v>1025</v>
      </c>
      <c r="L639">
        <v>4</v>
      </c>
      <c r="M639">
        <v>14</v>
      </c>
      <c r="N639">
        <v>4250000</v>
      </c>
      <c r="O639">
        <f>PropertyData[[#This Row],[Price]]/PropertyData[[#This Row],[Area_sqft]]</f>
        <v>3195.4887218045114</v>
      </c>
      <c r="P639" t="str">
        <f t="shared" si="9"/>
        <v>Budget</v>
      </c>
    </row>
    <row r="640" spans="1:16">
      <c r="A640" t="s">
        <v>652</v>
      </c>
      <c r="B640" t="s">
        <v>1018</v>
      </c>
      <c r="C640">
        <v>1366</v>
      </c>
      <c r="D640">
        <v>3</v>
      </c>
      <c r="E640">
        <v>3</v>
      </c>
      <c r="F640">
        <v>24</v>
      </c>
      <c r="G640" t="s">
        <v>1022</v>
      </c>
      <c r="H640" t="s">
        <v>1022</v>
      </c>
      <c r="I640" t="s">
        <v>1023</v>
      </c>
      <c r="J640" t="s">
        <v>1022</v>
      </c>
      <c r="K640" t="s">
        <v>1024</v>
      </c>
      <c r="L640">
        <v>12</v>
      </c>
      <c r="M640">
        <v>17</v>
      </c>
      <c r="N640">
        <v>6450000</v>
      </c>
      <c r="O640">
        <f>PropertyData[[#This Row],[Price]]/PropertyData[[#This Row],[Area_sqft]]</f>
        <v>4721.8155197657397</v>
      </c>
      <c r="P640" t="str">
        <f t="shared" si="9"/>
        <v>Mid-Range</v>
      </c>
    </row>
    <row r="641" spans="1:16">
      <c r="A641" t="s">
        <v>653</v>
      </c>
      <c r="B641" t="s">
        <v>1020</v>
      </c>
      <c r="C641">
        <v>1264</v>
      </c>
      <c r="D641">
        <v>3</v>
      </c>
      <c r="E641">
        <v>3</v>
      </c>
      <c r="F641">
        <v>25</v>
      </c>
      <c r="G641" t="s">
        <v>1023</v>
      </c>
      <c r="H641" t="s">
        <v>1022</v>
      </c>
      <c r="I641" t="s">
        <v>1023</v>
      </c>
      <c r="J641" t="s">
        <v>1022</v>
      </c>
      <c r="K641" t="s">
        <v>1024</v>
      </c>
      <c r="L641">
        <v>1</v>
      </c>
      <c r="M641">
        <v>16</v>
      </c>
      <c r="N641">
        <v>8600000</v>
      </c>
      <c r="O641">
        <f>PropertyData[[#This Row],[Price]]/PropertyData[[#This Row],[Area_sqft]]</f>
        <v>6803.7974683544307</v>
      </c>
      <c r="P641" t="str">
        <f t="shared" si="9"/>
        <v>Mid-Range</v>
      </c>
    </row>
    <row r="642" spans="1:16">
      <c r="A642" t="s">
        <v>654</v>
      </c>
      <c r="B642" t="s">
        <v>1019</v>
      </c>
      <c r="C642">
        <v>1630</v>
      </c>
      <c r="D642">
        <v>4</v>
      </c>
      <c r="E642">
        <v>3</v>
      </c>
      <c r="F642">
        <v>30</v>
      </c>
      <c r="G642" t="s">
        <v>1023</v>
      </c>
      <c r="H642" t="s">
        <v>1023</v>
      </c>
      <c r="I642" t="s">
        <v>1023</v>
      </c>
      <c r="J642" t="s">
        <v>1022</v>
      </c>
      <c r="K642" t="s">
        <v>1024</v>
      </c>
      <c r="L642">
        <v>16</v>
      </c>
      <c r="M642">
        <v>16</v>
      </c>
      <c r="N642">
        <v>10400000</v>
      </c>
      <c r="O642">
        <f>PropertyData[[#This Row],[Price]]/PropertyData[[#This Row],[Area_sqft]]</f>
        <v>6380.3680981595089</v>
      </c>
      <c r="P642" t="str">
        <f t="shared" ref="P642:P705" si="10">IF(N642&lt;5000000,"Budget",IF(N642&lt;=10000000,"Mid-Range","Premium"))</f>
        <v>Premium</v>
      </c>
    </row>
    <row r="643" spans="1:16">
      <c r="A643" t="s">
        <v>655</v>
      </c>
      <c r="B643" t="s">
        <v>1017</v>
      </c>
      <c r="C643">
        <v>1395</v>
      </c>
      <c r="D643">
        <v>3</v>
      </c>
      <c r="E643">
        <v>4</v>
      </c>
      <c r="F643">
        <v>0</v>
      </c>
      <c r="G643" t="s">
        <v>1022</v>
      </c>
      <c r="H643" t="s">
        <v>1023</v>
      </c>
      <c r="I643" t="s">
        <v>1023</v>
      </c>
      <c r="J643" t="s">
        <v>1022</v>
      </c>
      <c r="K643" t="s">
        <v>1026</v>
      </c>
      <c r="L643">
        <v>18</v>
      </c>
      <c r="M643">
        <v>22</v>
      </c>
      <c r="N643">
        <v>7100000</v>
      </c>
      <c r="O643">
        <f>PropertyData[[#This Row],[Price]]/PropertyData[[#This Row],[Area_sqft]]</f>
        <v>5089.6057347670248</v>
      </c>
      <c r="P643" t="str">
        <f t="shared" si="10"/>
        <v>Mid-Range</v>
      </c>
    </row>
    <row r="644" spans="1:16">
      <c r="A644" t="s">
        <v>656</v>
      </c>
      <c r="B644" t="s">
        <v>1014</v>
      </c>
      <c r="C644">
        <v>970</v>
      </c>
      <c r="D644">
        <v>1</v>
      </c>
      <c r="E644">
        <v>1</v>
      </c>
      <c r="F644">
        <v>12</v>
      </c>
      <c r="G644" t="s">
        <v>1022</v>
      </c>
      <c r="H644" t="s">
        <v>1022</v>
      </c>
      <c r="I644" t="s">
        <v>1023</v>
      </c>
      <c r="J644" t="s">
        <v>1022</v>
      </c>
      <c r="K644" t="s">
        <v>1025</v>
      </c>
      <c r="L644">
        <v>17</v>
      </c>
      <c r="M644">
        <v>23</v>
      </c>
      <c r="N644">
        <v>6850000</v>
      </c>
      <c r="O644">
        <f>PropertyData[[#This Row],[Price]]/PropertyData[[#This Row],[Area_sqft]]</f>
        <v>7061.855670103093</v>
      </c>
      <c r="P644" t="str">
        <f t="shared" si="10"/>
        <v>Mid-Range</v>
      </c>
    </row>
    <row r="645" spans="1:16">
      <c r="A645" t="s">
        <v>657</v>
      </c>
      <c r="B645" t="s">
        <v>1015</v>
      </c>
      <c r="C645">
        <v>1080</v>
      </c>
      <c r="D645">
        <v>2</v>
      </c>
      <c r="E645">
        <v>2</v>
      </c>
      <c r="F645">
        <v>7</v>
      </c>
      <c r="G645" t="s">
        <v>1023</v>
      </c>
      <c r="H645" t="s">
        <v>1023</v>
      </c>
      <c r="I645" t="s">
        <v>1023</v>
      </c>
      <c r="J645" t="s">
        <v>1022</v>
      </c>
      <c r="K645" t="s">
        <v>1025</v>
      </c>
      <c r="L645">
        <v>9</v>
      </c>
      <c r="M645">
        <v>19</v>
      </c>
      <c r="N645">
        <v>3650000</v>
      </c>
      <c r="O645">
        <f>PropertyData[[#This Row],[Price]]/PropertyData[[#This Row],[Area_sqft]]</f>
        <v>3379.6296296296296</v>
      </c>
      <c r="P645" t="str">
        <f t="shared" si="10"/>
        <v>Budget</v>
      </c>
    </row>
    <row r="646" spans="1:16">
      <c r="A646" t="s">
        <v>658</v>
      </c>
      <c r="B646" t="s">
        <v>1015</v>
      </c>
      <c r="C646">
        <v>1160</v>
      </c>
      <c r="D646">
        <v>3</v>
      </c>
      <c r="E646">
        <v>4</v>
      </c>
      <c r="F646">
        <v>5</v>
      </c>
      <c r="G646" t="s">
        <v>1022</v>
      </c>
      <c r="H646" t="s">
        <v>1023</v>
      </c>
      <c r="I646" t="s">
        <v>1023</v>
      </c>
      <c r="J646" t="s">
        <v>1023</v>
      </c>
      <c r="K646" t="s">
        <v>1025</v>
      </c>
      <c r="L646">
        <v>15</v>
      </c>
      <c r="M646">
        <v>22</v>
      </c>
      <c r="N646">
        <v>3500000</v>
      </c>
      <c r="O646">
        <f>PropertyData[[#This Row],[Price]]/PropertyData[[#This Row],[Area_sqft]]</f>
        <v>3017.2413793103447</v>
      </c>
      <c r="P646" t="str">
        <f t="shared" si="10"/>
        <v>Budget</v>
      </c>
    </row>
    <row r="647" spans="1:16">
      <c r="A647" t="s">
        <v>659</v>
      </c>
      <c r="B647" t="s">
        <v>1021</v>
      </c>
      <c r="C647">
        <v>1358</v>
      </c>
      <c r="D647">
        <v>3</v>
      </c>
      <c r="E647">
        <v>3</v>
      </c>
      <c r="F647">
        <v>2</v>
      </c>
      <c r="G647" t="s">
        <v>1022</v>
      </c>
      <c r="H647" t="s">
        <v>1023</v>
      </c>
      <c r="I647" t="s">
        <v>1023</v>
      </c>
      <c r="J647" t="s">
        <v>1022</v>
      </c>
      <c r="K647" t="s">
        <v>1026</v>
      </c>
      <c r="L647">
        <v>11</v>
      </c>
      <c r="M647">
        <v>11</v>
      </c>
      <c r="N647">
        <v>12200000</v>
      </c>
      <c r="O647">
        <f>PropertyData[[#This Row],[Price]]/PropertyData[[#This Row],[Area_sqft]]</f>
        <v>8983.7997054491898</v>
      </c>
      <c r="P647" t="str">
        <f t="shared" si="10"/>
        <v>Premium</v>
      </c>
    </row>
    <row r="648" spans="1:16">
      <c r="A648" t="s">
        <v>660</v>
      </c>
      <c r="B648" t="s">
        <v>1016</v>
      </c>
      <c r="C648">
        <v>1634</v>
      </c>
      <c r="D648">
        <v>4</v>
      </c>
      <c r="E648">
        <v>4</v>
      </c>
      <c r="F648">
        <v>2</v>
      </c>
      <c r="G648" t="s">
        <v>1022</v>
      </c>
      <c r="H648" t="s">
        <v>1023</v>
      </c>
      <c r="I648" t="s">
        <v>1023</v>
      </c>
      <c r="J648" t="s">
        <v>1022</v>
      </c>
      <c r="K648" t="s">
        <v>1025</v>
      </c>
      <c r="L648">
        <v>16</v>
      </c>
      <c r="M648">
        <v>19</v>
      </c>
      <c r="N648">
        <v>8150000</v>
      </c>
      <c r="O648">
        <f>PropertyData[[#This Row],[Price]]/PropertyData[[#This Row],[Area_sqft]]</f>
        <v>4987.7600979192166</v>
      </c>
      <c r="P648" t="str">
        <f t="shared" si="10"/>
        <v>Mid-Range</v>
      </c>
    </row>
    <row r="649" spans="1:16">
      <c r="A649" t="s">
        <v>661</v>
      </c>
      <c r="B649" t="s">
        <v>1020</v>
      </c>
      <c r="C649">
        <v>2161</v>
      </c>
      <c r="D649">
        <v>5</v>
      </c>
      <c r="E649">
        <v>5</v>
      </c>
      <c r="F649">
        <v>7</v>
      </c>
      <c r="G649" t="s">
        <v>1022</v>
      </c>
      <c r="H649" t="s">
        <v>1022</v>
      </c>
      <c r="I649" t="s">
        <v>1023</v>
      </c>
      <c r="J649" t="s">
        <v>1022</v>
      </c>
      <c r="K649" t="s">
        <v>1025</v>
      </c>
      <c r="L649">
        <v>19</v>
      </c>
      <c r="M649">
        <v>19</v>
      </c>
      <c r="N649">
        <v>14100000</v>
      </c>
      <c r="O649">
        <f>PropertyData[[#This Row],[Price]]/PropertyData[[#This Row],[Area_sqft]]</f>
        <v>6524.7570569180934</v>
      </c>
      <c r="P649" t="str">
        <f t="shared" si="10"/>
        <v>Premium</v>
      </c>
    </row>
    <row r="650" spans="1:16">
      <c r="A650" t="s">
        <v>662</v>
      </c>
      <c r="B650" t="s">
        <v>1017</v>
      </c>
      <c r="C650">
        <v>1397</v>
      </c>
      <c r="D650">
        <v>3</v>
      </c>
      <c r="E650">
        <v>3</v>
      </c>
      <c r="F650">
        <v>17</v>
      </c>
      <c r="G650" t="s">
        <v>1022</v>
      </c>
      <c r="H650" t="s">
        <v>1022</v>
      </c>
      <c r="I650" t="s">
        <v>1022</v>
      </c>
      <c r="J650" t="s">
        <v>1022</v>
      </c>
      <c r="K650" t="s">
        <v>1025</v>
      </c>
      <c r="L650">
        <v>2</v>
      </c>
      <c r="M650">
        <v>9</v>
      </c>
      <c r="N650">
        <v>5600000</v>
      </c>
      <c r="O650">
        <f>PropertyData[[#This Row],[Price]]/PropertyData[[#This Row],[Area_sqft]]</f>
        <v>4008.5898353614889</v>
      </c>
      <c r="P650" t="str">
        <f t="shared" si="10"/>
        <v>Mid-Range</v>
      </c>
    </row>
    <row r="651" spans="1:16">
      <c r="A651" t="s">
        <v>663</v>
      </c>
      <c r="B651" t="s">
        <v>1015</v>
      </c>
      <c r="C651">
        <v>1346</v>
      </c>
      <c r="D651">
        <v>2</v>
      </c>
      <c r="E651">
        <v>2</v>
      </c>
      <c r="F651">
        <v>3</v>
      </c>
      <c r="G651" t="s">
        <v>1023</v>
      </c>
      <c r="H651" t="s">
        <v>1022</v>
      </c>
      <c r="I651" t="s">
        <v>1023</v>
      </c>
      <c r="J651" t="s">
        <v>1023</v>
      </c>
      <c r="K651" t="s">
        <v>1025</v>
      </c>
      <c r="L651">
        <v>19</v>
      </c>
      <c r="M651">
        <v>22</v>
      </c>
      <c r="N651">
        <v>5550000</v>
      </c>
      <c r="O651">
        <f>PropertyData[[#This Row],[Price]]/PropertyData[[#This Row],[Area_sqft]]</f>
        <v>4123.3283803863296</v>
      </c>
      <c r="P651" t="str">
        <f t="shared" si="10"/>
        <v>Mid-Range</v>
      </c>
    </row>
    <row r="652" spans="1:16">
      <c r="A652" t="s">
        <v>664</v>
      </c>
      <c r="B652" t="s">
        <v>1018</v>
      </c>
      <c r="C652">
        <v>1399</v>
      </c>
      <c r="D652">
        <v>3</v>
      </c>
      <c r="E652">
        <v>4</v>
      </c>
      <c r="F652">
        <v>18</v>
      </c>
      <c r="G652" t="s">
        <v>1022</v>
      </c>
      <c r="H652" t="s">
        <v>1023</v>
      </c>
      <c r="I652" t="s">
        <v>1022</v>
      </c>
      <c r="J652" t="s">
        <v>1022</v>
      </c>
      <c r="K652" t="s">
        <v>1025</v>
      </c>
      <c r="L652">
        <v>2</v>
      </c>
      <c r="M652">
        <v>11</v>
      </c>
      <c r="N652">
        <v>6800000</v>
      </c>
      <c r="O652">
        <f>PropertyData[[#This Row],[Price]]/PropertyData[[#This Row],[Area_sqft]]</f>
        <v>4860.6147248034313</v>
      </c>
      <c r="P652" t="str">
        <f t="shared" si="10"/>
        <v>Mid-Range</v>
      </c>
    </row>
    <row r="653" spans="1:16">
      <c r="A653" t="s">
        <v>665</v>
      </c>
      <c r="B653" t="s">
        <v>1020</v>
      </c>
      <c r="C653">
        <v>1312</v>
      </c>
      <c r="D653">
        <v>3</v>
      </c>
      <c r="E653">
        <v>3</v>
      </c>
      <c r="F653">
        <v>0</v>
      </c>
      <c r="G653" t="s">
        <v>1022</v>
      </c>
      <c r="H653" t="s">
        <v>1023</v>
      </c>
      <c r="I653" t="s">
        <v>1023</v>
      </c>
      <c r="J653" t="s">
        <v>1022</v>
      </c>
      <c r="K653" t="s">
        <v>1025</v>
      </c>
      <c r="L653">
        <v>18</v>
      </c>
      <c r="M653">
        <v>21</v>
      </c>
      <c r="N653">
        <v>8300000</v>
      </c>
      <c r="O653">
        <f>PropertyData[[#This Row],[Price]]/PropertyData[[#This Row],[Area_sqft]]</f>
        <v>6326.2195121951218</v>
      </c>
      <c r="P653" t="str">
        <f t="shared" si="10"/>
        <v>Mid-Range</v>
      </c>
    </row>
    <row r="654" spans="1:16">
      <c r="A654" t="s">
        <v>666</v>
      </c>
      <c r="B654" t="s">
        <v>1018</v>
      </c>
      <c r="C654">
        <v>1221</v>
      </c>
      <c r="D654">
        <v>2</v>
      </c>
      <c r="E654">
        <v>2</v>
      </c>
      <c r="F654">
        <v>16</v>
      </c>
      <c r="G654" t="s">
        <v>1022</v>
      </c>
      <c r="H654" t="s">
        <v>1023</v>
      </c>
      <c r="I654" t="s">
        <v>1023</v>
      </c>
      <c r="J654" t="s">
        <v>1022</v>
      </c>
      <c r="K654" t="s">
        <v>1024</v>
      </c>
      <c r="L654">
        <v>1</v>
      </c>
      <c r="M654">
        <v>17</v>
      </c>
      <c r="N654">
        <v>7100000</v>
      </c>
      <c r="O654">
        <f>PropertyData[[#This Row],[Price]]/PropertyData[[#This Row],[Area_sqft]]</f>
        <v>5814.9058149058146</v>
      </c>
      <c r="P654" t="str">
        <f t="shared" si="10"/>
        <v>Mid-Range</v>
      </c>
    </row>
    <row r="655" spans="1:16">
      <c r="A655" t="s">
        <v>667</v>
      </c>
      <c r="B655" t="s">
        <v>1017</v>
      </c>
      <c r="C655">
        <v>1041</v>
      </c>
      <c r="D655">
        <v>1</v>
      </c>
      <c r="E655">
        <v>1</v>
      </c>
      <c r="F655">
        <v>12</v>
      </c>
      <c r="G655" t="s">
        <v>1022</v>
      </c>
      <c r="H655" t="s">
        <v>1022</v>
      </c>
      <c r="I655" t="s">
        <v>1022</v>
      </c>
      <c r="J655" t="s">
        <v>1023</v>
      </c>
      <c r="K655" t="s">
        <v>1025</v>
      </c>
      <c r="L655">
        <v>15</v>
      </c>
      <c r="M655">
        <v>22</v>
      </c>
      <c r="N655">
        <v>4450000</v>
      </c>
      <c r="O655">
        <f>PropertyData[[#This Row],[Price]]/PropertyData[[#This Row],[Area_sqft]]</f>
        <v>4274.735830931796</v>
      </c>
      <c r="P655" t="str">
        <f t="shared" si="10"/>
        <v>Budget</v>
      </c>
    </row>
    <row r="656" spans="1:16">
      <c r="A656" t="s">
        <v>668</v>
      </c>
      <c r="B656" t="s">
        <v>1014</v>
      </c>
      <c r="C656">
        <v>1061</v>
      </c>
      <c r="D656">
        <v>2</v>
      </c>
      <c r="E656">
        <v>3</v>
      </c>
      <c r="F656">
        <v>18</v>
      </c>
      <c r="G656" t="s">
        <v>1022</v>
      </c>
      <c r="H656" t="s">
        <v>1023</v>
      </c>
      <c r="I656" t="s">
        <v>1023</v>
      </c>
      <c r="J656" t="s">
        <v>1023</v>
      </c>
      <c r="K656" t="s">
        <v>1025</v>
      </c>
      <c r="L656">
        <v>9</v>
      </c>
      <c r="M656">
        <v>11</v>
      </c>
      <c r="N656">
        <v>6400000</v>
      </c>
      <c r="O656">
        <f>PropertyData[[#This Row],[Price]]/PropertyData[[#This Row],[Area_sqft]]</f>
        <v>6032.0452403393028</v>
      </c>
      <c r="P656" t="str">
        <f t="shared" si="10"/>
        <v>Mid-Range</v>
      </c>
    </row>
    <row r="657" spans="1:16">
      <c r="A657" t="s">
        <v>669</v>
      </c>
      <c r="B657" t="s">
        <v>1016</v>
      </c>
      <c r="C657">
        <v>943</v>
      </c>
      <c r="D657">
        <v>2</v>
      </c>
      <c r="E657">
        <v>2</v>
      </c>
      <c r="F657">
        <v>30</v>
      </c>
      <c r="G657" t="s">
        <v>1022</v>
      </c>
      <c r="H657" t="s">
        <v>1023</v>
      </c>
      <c r="I657" t="s">
        <v>1023</v>
      </c>
      <c r="J657" t="s">
        <v>1022</v>
      </c>
      <c r="K657" t="s">
        <v>1026</v>
      </c>
      <c r="L657">
        <v>5</v>
      </c>
      <c r="M657">
        <v>22</v>
      </c>
      <c r="N657">
        <v>4450000</v>
      </c>
      <c r="O657">
        <f>PropertyData[[#This Row],[Price]]/PropertyData[[#This Row],[Area_sqft]]</f>
        <v>4718.9819724284198</v>
      </c>
      <c r="P657" t="str">
        <f t="shared" si="10"/>
        <v>Budget</v>
      </c>
    </row>
    <row r="658" spans="1:16">
      <c r="A658" t="s">
        <v>670</v>
      </c>
      <c r="B658" t="s">
        <v>1016</v>
      </c>
      <c r="C658">
        <v>979</v>
      </c>
      <c r="D658">
        <v>2</v>
      </c>
      <c r="E658">
        <v>1</v>
      </c>
      <c r="F658">
        <v>24</v>
      </c>
      <c r="G658" t="s">
        <v>1022</v>
      </c>
      <c r="H658" t="s">
        <v>1022</v>
      </c>
      <c r="I658" t="s">
        <v>1023</v>
      </c>
      <c r="J658" t="s">
        <v>1023</v>
      </c>
      <c r="K658" t="s">
        <v>1024</v>
      </c>
      <c r="L658">
        <v>11</v>
      </c>
      <c r="M658">
        <v>21</v>
      </c>
      <c r="N658">
        <v>5350000</v>
      </c>
      <c r="O658">
        <f>PropertyData[[#This Row],[Price]]/PropertyData[[#This Row],[Area_sqft]]</f>
        <v>5464.7599591419812</v>
      </c>
      <c r="P658" t="str">
        <f t="shared" si="10"/>
        <v>Mid-Range</v>
      </c>
    </row>
    <row r="659" spans="1:16">
      <c r="A659" t="s">
        <v>671</v>
      </c>
      <c r="B659" t="s">
        <v>1014</v>
      </c>
      <c r="C659">
        <v>1254</v>
      </c>
      <c r="D659">
        <v>2</v>
      </c>
      <c r="E659">
        <v>2</v>
      </c>
      <c r="F659">
        <v>11</v>
      </c>
      <c r="G659" t="s">
        <v>1023</v>
      </c>
      <c r="H659" t="s">
        <v>1022</v>
      </c>
      <c r="I659" t="s">
        <v>1023</v>
      </c>
      <c r="J659" t="s">
        <v>1022</v>
      </c>
      <c r="K659" t="s">
        <v>1025</v>
      </c>
      <c r="L659">
        <v>20</v>
      </c>
      <c r="M659">
        <v>21</v>
      </c>
      <c r="N659">
        <v>8650000</v>
      </c>
      <c r="O659">
        <f>PropertyData[[#This Row],[Price]]/PropertyData[[#This Row],[Area_sqft]]</f>
        <v>6897.9266347687399</v>
      </c>
      <c r="P659" t="str">
        <f t="shared" si="10"/>
        <v>Mid-Range</v>
      </c>
    </row>
    <row r="660" spans="1:16">
      <c r="A660" t="s">
        <v>672</v>
      </c>
      <c r="B660" t="s">
        <v>1014</v>
      </c>
      <c r="C660">
        <v>1730</v>
      </c>
      <c r="D660">
        <v>4</v>
      </c>
      <c r="E660">
        <v>3</v>
      </c>
      <c r="F660">
        <v>8</v>
      </c>
      <c r="G660" t="s">
        <v>1022</v>
      </c>
      <c r="H660" t="s">
        <v>1022</v>
      </c>
      <c r="I660" t="s">
        <v>1022</v>
      </c>
      <c r="J660" t="s">
        <v>1022</v>
      </c>
      <c r="K660" t="s">
        <v>1025</v>
      </c>
      <c r="L660">
        <v>15</v>
      </c>
      <c r="M660">
        <v>17</v>
      </c>
      <c r="N660">
        <v>14500000</v>
      </c>
      <c r="O660">
        <f>PropertyData[[#This Row],[Price]]/PropertyData[[#This Row],[Area_sqft]]</f>
        <v>8381.5028901734113</v>
      </c>
      <c r="P660" t="str">
        <f t="shared" si="10"/>
        <v>Premium</v>
      </c>
    </row>
    <row r="661" spans="1:16">
      <c r="A661" t="s">
        <v>673</v>
      </c>
      <c r="B661" t="s">
        <v>1015</v>
      </c>
      <c r="C661">
        <v>1107</v>
      </c>
      <c r="D661">
        <v>2</v>
      </c>
      <c r="E661">
        <v>2</v>
      </c>
      <c r="F661">
        <v>6</v>
      </c>
      <c r="G661" t="s">
        <v>1023</v>
      </c>
      <c r="H661" t="s">
        <v>1022</v>
      </c>
      <c r="I661" t="s">
        <v>1023</v>
      </c>
      <c r="J661" t="s">
        <v>1022</v>
      </c>
      <c r="K661" t="s">
        <v>1025</v>
      </c>
      <c r="L661">
        <v>16</v>
      </c>
      <c r="M661">
        <v>22</v>
      </c>
      <c r="N661">
        <v>3600000</v>
      </c>
      <c r="O661">
        <f>PropertyData[[#This Row],[Price]]/PropertyData[[#This Row],[Area_sqft]]</f>
        <v>3252.0325203252032</v>
      </c>
      <c r="P661" t="str">
        <f t="shared" si="10"/>
        <v>Budget</v>
      </c>
    </row>
    <row r="662" spans="1:16">
      <c r="A662" t="s">
        <v>674</v>
      </c>
      <c r="B662" t="s">
        <v>1017</v>
      </c>
      <c r="C662">
        <v>1411</v>
      </c>
      <c r="D662">
        <v>4</v>
      </c>
      <c r="E662">
        <v>4</v>
      </c>
      <c r="F662">
        <v>27</v>
      </c>
      <c r="G662" t="s">
        <v>1023</v>
      </c>
      <c r="H662" t="s">
        <v>1022</v>
      </c>
      <c r="I662" t="s">
        <v>1023</v>
      </c>
      <c r="J662" t="s">
        <v>1022</v>
      </c>
      <c r="K662" t="s">
        <v>1024</v>
      </c>
      <c r="L662">
        <v>7</v>
      </c>
      <c r="M662">
        <v>24</v>
      </c>
      <c r="N662">
        <v>5450000</v>
      </c>
      <c r="O662">
        <f>PropertyData[[#This Row],[Price]]/PropertyData[[#This Row],[Area_sqft]]</f>
        <v>3862.5088589652728</v>
      </c>
      <c r="P662" t="str">
        <f t="shared" si="10"/>
        <v>Mid-Range</v>
      </c>
    </row>
    <row r="663" spans="1:16">
      <c r="A663" t="s">
        <v>675</v>
      </c>
      <c r="B663" t="s">
        <v>1018</v>
      </c>
      <c r="C663">
        <v>1524</v>
      </c>
      <c r="D663">
        <v>3</v>
      </c>
      <c r="E663">
        <v>3</v>
      </c>
      <c r="F663">
        <v>28</v>
      </c>
      <c r="G663" t="s">
        <v>1022</v>
      </c>
      <c r="H663" t="s">
        <v>1022</v>
      </c>
      <c r="I663" t="s">
        <v>1023</v>
      </c>
      <c r="J663" t="s">
        <v>1022</v>
      </c>
      <c r="K663" t="s">
        <v>1024</v>
      </c>
      <c r="L663">
        <v>6</v>
      </c>
      <c r="M663">
        <v>16</v>
      </c>
      <c r="N663">
        <v>7700000</v>
      </c>
      <c r="O663">
        <f>PropertyData[[#This Row],[Price]]/PropertyData[[#This Row],[Area_sqft]]</f>
        <v>5052.4934383202099</v>
      </c>
      <c r="P663" t="str">
        <f t="shared" si="10"/>
        <v>Mid-Range</v>
      </c>
    </row>
    <row r="664" spans="1:16">
      <c r="A664" t="s">
        <v>676</v>
      </c>
      <c r="B664" t="s">
        <v>1019</v>
      </c>
      <c r="C664">
        <v>1659</v>
      </c>
      <c r="D664">
        <v>4</v>
      </c>
      <c r="E664">
        <v>5</v>
      </c>
      <c r="F664">
        <v>10</v>
      </c>
      <c r="G664" t="s">
        <v>1023</v>
      </c>
      <c r="H664" t="s">
        <v>1022</v>
      </c>
      <c r="I664" t="s">
        <v>1023</v>
      </c>
      <c r="J664" t="s">
        <v>1023</v>
      </c>
      <c r="K664" t="s">
        <v>1025</v>
      </c>
      <c r="L664">
        <v>3</v>
      </c>
      <c r="M664">
        <v>22</v>
      </c>
      <c r="N664">
        <v>13250000</v>
      </c>
      <c r="O664">
        <f>PropertyData[[#This Row],[Price]]/PropertyData[[#This Row],[Area_sqft]]</f>
        <v>7986.7389993972274</v>
      </c>
      <c r="P664" t="str">
        <f t="shared" si="10"/>
        <v>Premium</v>
      </c>
    </row>
    <row r="665" spans="1:16">
      <c r="A665" t="s">
        <v>677</v>
      </c>
      <c r="B665" t="s">
        <v>1017</v>
      </c>
      <c r="C665">
        <v>1741</v>
      </c>
      <c r="D665">
        <v>4</v>
      </c>
      <c r="E665">
        <v>5</v>
      </c>
      <c r="F665">
        <v>20</v>
      </c>
      <c r="G665" t="s">
        <v>1023</v>
      </c>
      <c r="H665" t="s">
        <v>1023</v>
      </c>
      <c r="I665" t="s">
        <v>1022</v>
      </c>
      <c r="J665" t="s">
        <v>1022</v>
      </c>
      <c r="K665" t="s">
        <v>1025</v>
      </c>
      <c r="L665">
        <v>13</v>
      </c>
      <c r="M665">
        <v>24</v>
      </c>
      <c r="N665">
        <v>6100000</v>
      </c>
      <c r="O665">
        <f>PropertyData[[#This Row],[Price]]/PropertyData[[#This Row],[Area_sqft]]</f>
        <v>3503.7334865020102</v>
      </c>
      <c r="P665" t="str">
        <f t="shared" si="10"/>
        <v>Mid-Range</v>
      </c>
    </row>
    <row r="666" spans="1:16">
      <c r="A666" t="s">
        <v>678</v>
      </c>
      <c r="B666" t="s">
        <v>1020</v>
      </c>
      <c r="C666">
        <v>1154</v>
      </c>
      <c r="D666">
        <v>2</v>
      </c>
      <c r="E666">
        <v>1</v>
      </c>
      <c r="F666">
        <v>10</v>
      </c>
      <c r="G666" t="s">
        <v>1022</v>
      </c>
      <c r="H666" t="s">
        <v>1022</v>
      </c>
      <c r="I666" t="s">
        <v>1022</v>
      </c>
      <c r="J666" t="s">
        <v>1022</v>
      </c>
      <c r="K666" t="s">
        <v>1026</v>
      </c>
      <c r="L666">
        <v>13</v>
      </c>
      <c r="M666">
        <v>23</v>
      </c>
      <c r="N666">
        <v>11900000</v>
      </c>
      <c r="O666">
        <f>PropertyData[[#This Row],[Price]]/PropertyData[[#This Row],[Area_sqft]]</f>
        <v>10311.958405545927</v>
      </c>
      <c r="P666" t="str">
        <f t="shared" si="10"/>
        <v>Premium</v>
      </c>
    </row>
    <row r="667" spans="1:16">
      <c r="A667" t="s">
        <v>679</v>
      </c>
      <c r="B667" t="s">
        <v>1017</v>
      </c>
      <c r="C667">
        <v>1144</v>
      </c>
      <c r="D667">
        <v>3</v>
      </c>
      <c r="E667">
        <v>3</v>
      </c>
      <c r="F667">
        <v>2</v>
      </c>
      <c r="G667" t="s">
        <v>1023</v>
      </c>
      <c r="H667" t="s">
        <v>1023</v>
      </c>
      <c r="I667" t="s">
        <v>1023</v>
      </c>
      <c r="J667" t="s">
        <v>1022</v>
      </c>
      <c r="K667" t="s">
        <v>1025</v>
      </c>
      <c r="L667">
        <v>14</v>
      </c>
      <c r="M667">
        <v>17</v>
      </c>
      <c r="N667">
        <v>3750000</v>
      </c>
      <c r="O667">
        <f>PropertyData[[#This Row],[Price]]/PropertyData[[#This Row],[Area_sqft]]</f>
        <v>3277.9720279720282</v>
      </c>
      <c r="P667" t="str">
        <f t="shared" si="10"/>
        <v>Budget</v>
      </c>
    </row>
    <row r="668" spans="1:16">
      <c r="A668" t="s">
        <v>680</v>
      </c>
      <c r="B668" t="s">
        <v>1017</v>
      </c>
      <c r="C668">
        <v>2154</v>
      </c>
      <c r="D668">
        <v>5</v>
      </c>
      <c r="E668">
        <v>4</v>
      </c>
      <c r="F668">
        <v>28</v>
      </c>
      <c r="G668" t="s">
        <v>1023</v>
      </c>
      <c r="H668" t="s">
        <v>1023</v>
      </c>
      <c r="I668" t="s">
        <v>1022</v>
      </c>
      <c r="J668" t="s">
        <v>1022</v>
      </c>
      <c r="K668" t="s">
        <v>1025</v>
      </c>
      <c r="L668">
        <v>9</v>
      </c>
      <c r="M668">
        <v>17</v>
      </c>
      <c r="N668">
        <v>6250000</v>
      </c>
      <c r="O668">
        <f>PropertyData[[#This Row],[Price]]/PropertyData[[#This Row],[Area_sqft]]</f>
        <v>2901.5784586815225</v>
      </c>
      <c r="P668" t="str">
        <f t="shared" si="10"/>
        <v>Mid-Range</v>
      </c>
    </row>
    <row r="669" spans="1:16">
      <c r="A669" t="s">
        <v>681</v>
      </c>
      <c r="B669" t="s">
        <v>1020</v>
      </c>
      <c r="C669">
        <v>2004</v>
      </c>
      <c r="D669">
        <v>4</v>
      </c>
      <c r="E669">
        <v>5</v>
      </c>
      <c r="F669">
        <v>22</v>
      </c>
      <c r="G669" t="s">
        <v>1022</v>
      </c>
      <c r="H669" t="s">
        <v>1022</v>
      </c>
      <c r="I669" t="s">
        <v>1022</v>
      </c>
      <c r="J669" t="s">
        <v>1022</v>
      </c>
      <c r="K669" t="s">
        <v>1025</v>
      </c>
      <c r="L669">
        <v>15</v>
      </c>
      <c r="M669">
        <v>22</v>
      </c>
      <c r="N669">
        <v>13400000</v>
      </c>
      <c r="O669">
        <f>PropertyData[[#This Row],[Price]]/PropertyData[[#This Row],[Area_sqft]]</f>
        <v>6686.6267465069859</v>
      </c>
      <c r="P669" t="str">
        <f t="shared" si="10"/>
        <v>Premium</v>
      </c>
    </row>
    <row r="670" spans="1:16">
      <c r="A670" t="s">
        <v>682</v>
      </c>
      <c r="B670" t="s">
        <v>1015</v>
      </c>
      <c r="C670">
        <v>1493</v>
      </c>
      <c r="D670">
        <v>3</v>
      </c>
      <c r="E670">
        <v>3</v>
      </c>
      <c r="F670">
        <v>3</v>
      </c>
      <c r="G670" t="s">
        <v>1022</v>
      </c>
      <c r="H670" t="s">
        <v>1022</v>
      </c>
      <c r="I670" t="s">
        <v>1023</v>
      </c>
      <c r="J670" t="s">
        <v>1022</v>
      </c>
      <c r="K670" t="s">
        <v>1026</v>
      </c>
      <c r="L670">
        <v>5</v>
      </c>
      <c r="M670">
        <v>23</v>
      </c>
      <c r="N670">
        <v>7200000</v>
      </c>
      <c r="O670">
        <f>PropertyData[[#This Row],[Price]]/PropertyData[[#This Row],[Area_sqft]]</f>
        <v>4822.5050234427326</v>
      </c>
      <c r="P670" t="str">
        <f t="shared" si="10"/>
        <v>Mid-Range</v>
      </c>
    </row>
    <row r="671" spans="1:16">
      <c r="A671" t="s">
        <v>683</v>
      </c>
      <c r="B671" t="s">
        <v>1019</v>
      </c>
      <c r="C671">
        <v>832</v>
      </c>
      <c r="D671">
        <v>2</v>
      </c>
      <c r="E671">
        <v>3</v>
      </c>
      <c r="F671">
        <v>24</v>
      </c>
      <c r="G671" t="s">
        <v>1022</v>
      </c>
      <c r="H671" t="s">
        <v>1022</v>
      </c>
      <c r="I671" t="s">
        <v>1023</v>
      </c>
      <c r="J671" t="s">
        <v>1023</v>
      </c>
      <c r="K671" t="s">
        <v>1025</v>
      </c>
      <c r="L671">
        <v>5</v>
      </c>
      <c r="M671">
        <v>7</v>
      </c>
      <c r="N671">
        <v>5750000</v>
      </c>
      <c r="O671">
        <f>PropertyData[[#This Row],[Price]]/PropertyData[[#This Row],[Area_sqft]]</f>
        <v>6911.0576923076924</v>
      </c>
      <c r="P671" t="str">
        <f t="shared" si="10"/>
        <v>Mid-Range</v>
      </c>
    </row>
    <row r="672" spans="1:16">
      <c r="A672" t="s">
        <v>684</v>
      </c>
      <c r="B672" t="s">
        <v>1021</v>
      </c>
      <c r="C672">
        <v>1215</v>
      </c>
      <c r="D672">
        <v>2</v>
      </c>
      <c r="E672">
        <v>2</v>
      </c>
      <c r="F672">
        <v>28</v>
      </c>
      <c r="G672" t="s">
        <v>1023</v>
      </c>
      <c r="H672" t="s">
        <v>1023</v>
      </c>
      <c r="I672" t="s">
        <v>1023</v>
      </c>
      <c r="J672" t="s">
        <v>1022</v>
      </c>
      <c r="K672" t="s">
        <v>1025</v>
      </c>
      <c r="L672">
        <v>12</v>
      </c>
      <c r="M672">
        <v>22</v>
      </c>
      <c r="N672">
        <v>5600000</v>
      </c>
      <c r="O672">
        <f>PropertyData[[#This Row],[Price]]/PropertyData[[#This Row],[Area_sqft]]</f>
        <v>4609.0534979423865</v>
      </c>
      <c r="P672" t="str">
        <f t="shared" si="10"/>
        <v>Mid-Range</v>
      </c>
    </row>
    <row r="673" spans="1:16">
      <c r="A673" t="s">
        <v>685</v>
      </c>
      <c r="B673" t="s">
        <v>1019</v>
      </c>
      <c r="C673">
        <v>2110</v>
      </c>
      <c r="D673">
        <v>5</v>
      </c>
      <c r="E673">
        <v>5</v>
      </c>
      <c r="F673">
        <v>24</v>
      </c>
      <c r="G673" t="s">
        <v>1022</v>
      </c>
      <c r="H673" t="s">
        <v>1023</v>
      </c>
      <c r="I673" t="s">
        <v>1023</v>
      </c>
      <c r="J673" t="s">
        <v>1022</v>
      </c>
      <c r="K673" t="s">
        <v>1025</v>
      </c>
      <c r="L673">
        <v>17</v>
      </c>
      <c r="M673">
        <v>18</v>
      </c>
      <c r="N673">
        <v>12650000</v>
      </c>
      <c r="O673">
        <f>PropertyData[[#This Row],[Price]]/PropertyData[[#This Row],[Area_sqft]]</f>
        <v>5995.2606635071088</v>
      </c>
      <c r="P673" t="str">
        <f t="shared" si="10"/>
        <v>Premium</v>
      </c>
    </row>
    <row r="674" spans="1:16">
      <c r="A674" t="s">
        <v>686</v>
      </c>
      <c r="B674" t="s">
        <v>1018</v>
      </c>
      <c r="C674">
        <v>1205</v>
      </c>
      <c r="D674">
        <v>2</v>
      </c>
      <c r="E674">
        <v>2</v>
      </c>
      <c r="F674">
        <v>26</v>
      </c>
      <c r="G674" t="s">
        <v>1022</v>
      </c>
      <c r="H674" t="s">
        <v>1023</v>
      </c>
      <c r="I674" t="s">
        <v>1023</v>
      </c>
      <c r="J674" t="s">
        <v>1022</v>
      </c>
      <c r="K674" t="s">
        <v>1025</v>
      </c>
      <c r="L674">
        <v>12</v>
      </c>
      <c r="M674">
        <v>17</v>
      </c>
      <c r="N674">
        <v>4700000</v>
      </c>
      <c r="O674">
        <f>PropertyData[[#This Row],[Price]]/PropertyData[[#This Row],[Area_sqft]]</f>
        <v>3900.4149377593362</v>
      </c>
      <c r="P674" t="str">
        <f t="shared" si="10"/>
        <v>Budget</v>
      </c>
    </row>
    <row r="675" spans="1:16">
      <c r="A675" t="s">
        <v>687</v>
      </c>
      <c r="B675" t="s">
        <v>1018</v>
      </c>
      <c r="C675">
        <v>1191</v>
      </c>
      <c r="D675">
        <v>3</v>
      </c>
      <c r="E675">
        <v>3</v>
      </c>
      <c r="F675">
        <v>22</v>
      </c>
      <c r="G675" t="s">
        <v>1023</v>
      </c>
      <c r="H675" t="s">
        <v>1023</v>
      </c>
      <c r="I675" t="s">
        <v>1023</v>
      </c>
      <c r="J675" t="s">
        <v>1022</v>
      </c>
      <c r="K675" t="s">
        <v>1024</v>
      </c>
      <c r="L675">
        <v>14</v>
      </c>
      <c r="M675">
        <v>15</v>
      </c>
      <c r="N675">
        <v>5950000</v>
      </c>
      <c r="O675">
        <f>PropertyData[[#This Row],[Price]]/PropertyData[[#This Row],[Area_sqft]]</f>
        <v>4995.8018471872374</v>
      </c>
      <c r="P675" t="str">
        <f t="shared" si="10"/>
        <v>Mid-Range</v>
      </c>
    </row>
    <row r="676" spans="1:16">
      <c r="A676" t="s">
        <v>688</v>
      </c>
      <c r="B676" t="s">
        <v>1017</v>
      </c>
      <c r="C676">
        <v>1587</v>
      </c>
      <c r="D676">
        <v>3</v>
      </c>
      <c r="E676">
        <v>3</v>
      </c>
      <c r="F676">
        <v>9</v>
      </c>
      <c r="G676" t="s">
        <v>1023</v>
      </c>
      <c r="H676" t="s">
        <v>1023</v>
      </c>
      <c r="I676" t="s">
        <v>1023</v>
      </c>
      <c r="J676" t="s">
        <v>1022</v>
      </c>
      <c r="K676" t="s">
        <v>1025</v>
      </c>
      <c r="L676">
        <v>15</v>
      </c>
      <c r="M676">
        <v>20</v>
      </c>
      <c r="N676">
        <v>4800000</v>
      </c>
      <c r="O676">
        <f>PropertyData[[#This Row],[Price]]/PropertyData[[#This Row],[Area_sqft]]</f>
        <v>3024.5746691871454</v>
      </c>
      <c r="P676" t="str">
        <f t="shared" si="10"/>
        <v>Budget</v>
      </c>
    </row>
    <row r="677" spans="1:16">
      <c r="A677" t="s">
        <v>689</v>
      </c>
      <c r="B677" t="s">
        <v>1019</v>
      </c>
      <c r="C677">
        <v>722</v>
      </c>
      <c r="D677">
        <v>1</v>
      </c>
      <c r="E677">
        <v>1</v>
      </c>
      <c r="F677">
        <v>29</v>
      </c>
      <c r="G677" t="s">
        <v>1023</v>
      </c>
      <c r="H677" t="s">
        <v>1022</v>
      </c>
      <c r="I677" t="s">
        <v>1023</v>
      </c>
      <c r="J677" t="s">
        <v>1022</v>
      </c>
      <c r="K677" t="s">
        <v>1025</v>
      </c>
      <c r="L677">
        <v>19</v>
      </c>
      <c r="M677">
        <v>19</v>
      </c>
      <c r="N677">
        <v>5350000</v>
      </c>
      <c r="O677">
        <f>PropertyData[[#This Row],[Price]]/PropertyData[[#This Row],[Area_sqft]]</f>
        <v>7409.972299168975</v>
      </c>
      <c r="P677" t="str">
        <f t="shared" si="10"/>
        <v>Mid-Range</v>
      </c>
    </row>
    <row r="678" spans="1:16">
      <c r="A678" t="s">
        <v>690</v>
      </c>
      <c r="B678" t="s">
        <v>1020</v>
      </c>
      <c r="C678">
        <v>1234</v>
      </c>
      <c r="D678">
        <v>3</v>
      </c>
      <c r="E678">
        <v>4</v>
      </c>
      <c r="F678">
        <v>7</v>
      </c>
      <c r="G678" t="s">
        <v>1022</v>
      </c>
      <c r="H678" t="s">
        <v>1022</v>
      </c>
      <c r="I678" t="s">
        <v>1023</v>
      </c>
      <c r="J678" t="s">
        <v>1022</v>
      </c>
      <c r="K678" t="s">
        <v>1026</v>
      </c>
      <c r="L678">
        <v>20</v>
      </c>
      <c r="M678">
        <v>23</v>
      </c>
      <c r="N678">
        <v>12450000</v>
      </c>
      <c r="O678">
        <f>PropertyData[[#This Row],[Price]]/PropertyData[[#This Row],[Area_sqft]]</f>
        <v>10089.141004862237</v>
      </c>
      <c r="P678" t="str">
        <f t="shared" si="10"/>
        <v>Premium</v>
      </c>
    </row>
    <row r="679" spans="1:16">
      <c r="A679" t="s">
        <v>691</v>
      </c>
      <c r="B679" t="s">
        <v>1015</v>
      </c>
      <c r="C679">
        <v>1657</v>
      </c>
      <c r="D679">
        <v>4</v>
      </c>
      <c r="E679">
        <v>3</v>
      </c>
      <c r="F679">
        <v>22</v>
      </c>
      <c r="G679" t="s">
        <v>1022</v>
      </c>
      <c r="H679" t="s">
        <v>1022</v>
      </c>
      <c r="I679" t="s">
        <v>1023</v>
      </c>
      <c r="J679" t="s">
        <v>1022</v>
      </c>
      <c r="K679" t="s">
        <v>1025</v>
      </c>
      <c r="L679">
        <v>9</v>
      </c>
      <c r="M679">
        <v>14</v>
      </c>
      <c r="N679">
        <v>5550000</v>
      </c>
      <c r="O679">
        <f>PropertyData[[#This Row],[Price]]/PropertyData[[#This Row],[Area_sqft]]</f>
        <v>3349.4266747133374</v>
      </c>
      <c r="P679" t="str">
        <f t="shared" si="10"/>
        <v>Mid-Range</v>
      </c>
    </row>
    <row r="680" spans="1:16">
      <c r="A680" t="s">
        <v>692</v>
      </c>
      <c r="B680" t="s">
        <v>1019</v>
      </c>
      <c r="C680">
        <v>993</v>
      </c>
      <c r="D680">
        <v>3</v>
      </c>
      <c r="E680">
        <v>3</v>
      </c>
      <c r="F680">
        <v>16</v>
      </c>
      <c r="G680" t="s">
        <v>1023</v>
      </c>
      <c r="H680" t="s">
        <v>1023</v>
      </c>
      <c r="I680" t="s">
        <v>1023</v>
      </c>
      <c r="J680" t="s">
        <v>1022</v>
      </c>
      <c r="K680" t="s">
        <v>1024</v>
      </c>
      <c r="L680">
        <v>19</v>
      </c>
      <c r="M680">
        <v>19</v>
      </c>
      <c r="N680">
        <v>7800000</v>
      </c>
      <c r="O680">
        <f>PropertyData[[#This Row],[Price]]/PropertyData[[#This Row],[Area_sqft]]</f>
        <v>7854.9848942598192</v>
      </c>
      <c r="P680" t="str">
        <f t="shared" si="10"/>
        <v>Mid-Range</v>
      </c>
    </row>
    <row r="681" spans="1:16">
      <c r="A681" t="s">
        <v>693</v>
      </c>
      <c r="B681" t="s">
        <v>1014</v>
      </c>
      <c r="C681">
        <v>683</v>
      </c>
      <c r="D681">
        <v>1</v>
      </c>
      <c r="E681">
        <v>1</v>
      </c>
      <c r="F681">
        <v>19</v>
      </c>
      <c r="G681" t="s">
        <v>1022</v>
      </c>
      <c r="H681" t="s">
        <v>1023</v>
      </c>
      <c r="I681" t="s">
        <v>1023</v>
      </c>
      <c r="J681" t="s">
        <v>1023</v>
      </c>
      <c r="K681" t="s">
        <v>1024</v>
      </c>
      <c r="L681">
        <v>20</v>
      </c>
      <c r="M681">
        <v>21</v>
      </c>
      <c r="N681">
        <v>4200000</v>
      </c>
      <c r="O681">
        <f>PropertyData[[#This Row],[Price]]/PropertyData[[#This Row],[Area_sqft]]</f>
        <v>6149.3411420204975</v>
      </c>
      <c r="P681" t="str">
        <f t="shared" si="10"/>
        <v>Budget</v>
      </c>
    </row>
    <row r="682" spans="1:16">
      <c r="A682" t="s">
        <v>694</v>
      </c>
      <c r="B682" t="s">
        <v>1017</v>
      </c>
      <c r="C682">
        <v>957</v>
      </c>
      <c r="D682">
        <v>2</v>
      </c>
      <c r="E682">
        <v>2</v>
      </c>
      <c r="F682">
        <v>3</v>
      </c>
      <c r="G682" t="s">
        <v>1023</v>
      </c>
      <c r="H682" t="s">
        <v>1023</v>
      </c>
      <c r="I682" t="s">
        <v>1023</v>
      </c>
      <c r="J682" t="s">
        <v>1022</v>
      </c>
      <c r="K682" t="s">
        <v>1024</v>
      </c>
      <c r="L682">
        <v>18</v>
      </c>
      <c r="M682">
        <v>23</v>
      </c>
      <c r="N682">
        <v>3800000</v>
      </c>
      <c r="O682">
        <f>PropertyData[[#This Row],[Price]]/PropertyData[[#This Row],[Area_sqft]]</f>
        <v>3970.7419017763846</v>
      </c>
      <c r="P682" t="str">
        <f t="shared" si="10"/>
        <v>Budget</v>
      </c>
    </row>
    <row r="683" spans="1:16">
      <c r="A683" t="s">
        <v>695</v>
      </c>
      <c r="B683" t="s">
        <v>1019</v>
      </c>
      <c r="C683">
        <v>1777</v>
      </c>
      <c r="D683">
        <v>5</v>
      </c>
      <c r="E683">
        <v>4</v>
      </c>
      <c r="F683">
        <v>1</v>
      </c>
      <c r="G683" t="s">
        <v>1022</v>
      </c>
      <c r="H683" t="s">
        <v>1022</v>
      </c>
      <c r="I683" t="s">
        <v>1022</v>
      </c>
      <c r="J683" t="s">
        <v>1022</v>
      </c>
      <c r="K683" t="s">
        <v>1025</v>
      </c>
      <c r="L683">
        <v>18</v>
      </c>
      <c r="M683">
        <v>24</v>
      </c>
      <c r="N683">
        <v>15850000</v>
      </c>
      <c r="O683">
        <f>PropertyData[[#This Row],[Price]]/PropertyData[[#This Row],[Area_sqft]]</f>
        <v>8919.5272931907712</v>
      </c>
      <c r="P683" t="str">
        <f t="shared" si="10"/>
        <v>Premium</v>
      </c>
    </row>
    <row r="684" spans="1:16">
      <c r="A684" t="s">
        <v>696</v>
      </c>
      <c r="B684" t="s">
        <v>1017</v>
      </c>
      <c r="C684">
        <v>2084</v>
      </c>
      <c r="D684">
        <v>5</v>
      </c>
      <c r="E684">
        <v>5</v>
      </c>
      <c r="F684">
        <v>8</v>
      </c>
      <c r="G684" t="s">
        <v>1022</v>
      </c>
      <c r="H684" t="s">
        <v>1023</v>
      </c>
      <c r="I684" t="s">
        <v>1023</v>
      </c>
      <c r="J684" t="s">
        <v>1022</v>
      </c>
      <c r="K684" t="s">
        <v>1024</v>
      </c>
      <c r="L684">
        <v>5</v>
      </c>
      <c r="M684">
        <v>8</v>
      </c>
      <c r="N684">
        <v>8850000</v>
      </c>
      <c r="O684">
        <f>PropertyData[[#This Row],[Price]]/PropertyData[[#This Row],[Area_sqft]]</f>
        <v>4246.6410748560456</v>
      </c>
      <c r="P684" t="str">
        <f t="shared" si="10"/>
        <v>Mid-Range</v>
      </c>
    </row>
    <row r="685" spans="1:16">
      <c r="A685" t="s">
        <v>697</v>
      </c>
      <c r="B685" t="s">
        <v>1017</v>
      </c>
      <c r="C685">
        <v>1309</v>
      </c>
      <c r="D685">
        <v>3</v>
      </c>
      <c r="E685">
        <v>3</v>
      </c>
      <c r="F685">
        <v>28</v>
      </c>
      <c r="G685" t="s">
        <v>1022</v>
      </c>
      <c r="H685" t="s">
        <v>1022</v>
      </c>
      <c r="I685" t="s">
        <v>1023</v>
      </c>
      <c r="J685" t="s">
        <v>1022</v>
      </c>
      <c r="K685" t="s">
        <v>1026</v>
      </c>
      <c r="L685">
        <v>15</v>
      </c>
      <c r="M685">
        <v>23</v>
      </c>
      <c r="N685">
        <v>6200000</v>
      </c>
      <c r="O685">
        <f>PropertyData[[#This Row],[Price]]/PropertyData[[#This Row],[Area_sqft]]</f>
        <v>4736.4400305576773</v>
      </c>
      <c r="P685" t="str">
        <f t="shared" si="10"/>
        <v>Mid-Range</v>
      </c>
    </row>
    <row r="686" spans="1:16">
      <c r="A686" t="s">
        <v>698</v>
      </c>
      <c r="B686" t="s">
        <v>1021</v>
      </c>
      <c r="C686">
        <v>1853</v>
      </c>
      <c r="D686">
        <v>4</v>
      </c>
      <c r="E686">
        <v>4</v>
      </c>
      <c r="F686">
        <v>3</v>
      </c>
      <c r="G686" t="s">
        <v>1022</v>
      </c>
      <c r="H686" t="s">
        <v>1023</v>
      </c>
      <c r="I686" t="s">
        <v>1023</v>
      </c>
      <c r="J686" t="s">
        <v>1022</v>
      </c>
      <c r="K686" t="s">
        <v>1025</v>
      </c>
      <c r="L686">
        <v>17</v>
      </c>
      <c r="M686">
        <v>17</v>
      </c>
      <c r="N686">
        <v>10800000</v>
      </c>
      <c r="O686">
        <f>PropertyData[[#This Row],[Price]]/PropertyData[[#This Row],[Area_sqft]]</f>
        <v>5828.386400431732</v>
      </c>
      <c r="P686" t="str">
        <f t="shared" si="10"/>
        <v>Premium</v>
      </c>
    </row>
    <row r="687" spans="1:16">
      <c r="A687" t="s">
        <v>699</v>
      </c>
      <c r="B687" t="s">
        <v>1020</v>
      </c>
      <c r="C687">
        <v>1325</v>
      </c>
      <c r="D687">
        <v>2</v>
      </c>
      <c r="E687">
        <v>2</v>
      </c>
      <c r="F687">
        <v>25</v>
      </c>
      <c r="G687" t="s">
        <v>1022</v>
      </c>
      <c r="H687" t="s">
        <v>1022</v>
      </c>
      <c r="I687" t="s">
        <v>1023</v>
      </c>
      <c r="J687" t="s">
        <v>1022</v>
      </c>
      <c r="K687" t="s">
        <v>1025</v>
      </c>
      <c r="L687">
        <v>8</v>
      </c>
      <c r="M687">
        <v>8</v>
      </c>
      <c r="N687">
        <v>8350000</v>
      </c>
      <c r="O687">
        <f>PropertyData[[#This Row],[Price]]/PropertyData[[#This Row],[Area_sqft]]</f>
        <v>6301.8867924528304</v>
      </c>
      <c r="P687" t="str">
        <f t="shared" si="10"/>
        <v>Mid-Range</v>
      </c>
    </row>
    <row r="688" spans="1:16">
      <c r="A688" t="s">
        <v>700</v>
      </c>
      <c r="B688" t="s">
        <v>1021</v>
      </c>
      <c r="C688">
        <v>540</v>
      </c>
      <c r="D688">
        <v>1</v>
      </c>
      <c r="E688">
        <v>1</v>
      </c>
      <c r="F688">
        <v>28</v>
      </c>
      <c r="G688" t="s">
        <v>1022</v>
      </c>
      <c r="H688" t="s">
        <v>1022</v>
      </c>
      <c r="I688" t="s">
        <v>1023</v>
      </c>
      <c r="J688" t="s">
        <v>1022</v>
      </c>
      <c r="K688" t="s">
        <v>1025</v>
      </c>
      <c r="L688">
        <v>5</v>
      </c>
      <c r="M688">
        <v>22</v>
      </c>
      <c r="N688">
        <v>2850000</v>
      </c>
      <c r="O688">
        <f>PropertyData[[#This Row],[Price]]/PropertyData[[#This Row],[Area_sqft]]</f>
        <v>5277.7777777777774</v>
      </c>
      <c r="P688" t="str">
        <f t="shared" si="10"/>
        <v>Budget</v>
      </c>
    </row>
    <row r="689" spans="1:16">
      <c r="A689" t="s">
        <v>701</v>
      </c>
      <c r="B689" t="s">
        <v>1015</v>
      </c>
      <c r="C689">
        <v>1161</v>
      </c>
      <c r="D689">
        <v>2</v>
      </c>
      <c r="E689">
        <v>3</v>
      </c>
      <c r="F689">
        <v>10</v>
      </c>
      <c r="G689" t="s">
        <v>1022</v>
      </c>
      <c r="H689" t="s">
        <v>1022</v>
      </c>
      <c r="I689" t="s">
        <v>1023</v>
      </c>
      <c r="J689" t="s">
        <v>1022</v>
      </c>
      <c r="K689" t="s">
        <v>1025</v>
      </c>
      <c r="L689">
        <v>10</v>
      </c>
      <c r="M689">
        <v>14</v>
      </c>
      <c r="N689">
        <v>3600000</v>
      </c>
      <c r="O689">
        <f>PropertyData[[#This Row],[Price]]/PropertyData[[#This Row],[Area_sqft]]</f>
        <v>3100.7751937984494</v>
      </c>
      <c r="P689" t="str">
        <f t="shared" si="10"/>
        <v>Budget</v>
      </c>
    </row>
    <row r="690" spans="1:16">
      <c r="A690" t="s">
        <v>702</v>
      </c>
      <c r="B690" t="s">
        <v>1019</v>
      </c>
      <c r="C690">
        <v>897</v>
      </c>
      <c r="D690">
        <v>2</v>
      </c>
      <c r="E690">
        <v>1</v>
      </c>
      <c r="F690">
        <v>19</v>
      </c>
      <c r="G690" t="s">
        <v>1023</v>
      </c>
      <c r="H690" t="s">
        <v>1023</v>
      </c>
      <c r="I690" t="s">
        <v>1023</v>
      </c>
      <c r="J690" t="s">
        <v>1022</v>
      </c>
      <c r="K690" t="s">
        <v>1025</v>
      </c>
      <c r="L690">
        <v>16</v>
      </c>
      <c r="M690">
        <v>19</v>
      </c>
      <c r="N690">
        <v>5950000</v>
      </c>
      <c r="O690">
        <f>PropertyData[[#This Row],[Price]]/PropertyData[[#This Row],[Area_sqft]]</f>
        <v>6633.2218506131549</v>
      </c>
      <c r="P690" t="str">
        <f t="shared" si="10"/>
        <v>Mid-Range</v>
      </c>
    </row>
    <row r="691" spans="1:16">
      <c r="A691" t="s">
        <v>703</v>
      </c>
      <c r="B691" t="s">
        <v>1019</v>
      </c>
      <c r="C691">
        <v>1105</v>
      </c>
      <c r="D691">
        <v>2</v>
      </c>
      <c r="E691">
        <v>2</v>
      </c>
      <c r="F691">
        <v>28</v>
      </c>
      <c r="G691" t="s">
        <v>1022</v>
      </c>
      <c r="H691" t="s">
        <v>1022</v>
      </c>
      <c r="I691" t="s">
        <v>1023</v>
      </c>
      <c r="J691" t="s">
        <v>1022</v>
      </c>
      <c r="K691" t="s">
        <v>1025</v>
      </c>
      <c r="L691">
        <v>3</v>
      </c>
      <c r="M691">
        <v>12</v>
      </c>
      <c r="N691">
        <v>7550000</v>
      </c>
      <c r="O691">
        <f>PropertyData[[#This Row],[Price]]/PropertyData[[#This Row],[Area_sqft]]</f>
        <v>6832.5791855203624</v>
      </c>
      <c r="P691" t="str">
        <f t="shared" si="10"/>
        <v>Mid-Range</v>
      </c>
    </row>
    <row r="692" spans="1:16">
      <c r="A692" t="s">
        <v>704</v>
      </c>
      <c r="B692" t="s">
        <v>1021</v>
      </c>
      <c r="C692">
        <v>1308</v>
      </c>
      <c r="D692">
        <v>3</v>
      </c>
      <c r="E692">
        <v>3</v>
      </c>
      <c r="F692">
        <v>24</v>
      </c>
      <c r="G692" t="s">
        <v>1022</v>
      </c>
      <c r="H692" t="s">
        <v>1022</v>
      </c>
      <c r="I692" t="s">
        <v>1023</v>
      </c>
      <c r="J692" t="s">
        <v>1022</v>
      </c>
      <c r="K692" t="s">
        <v>1025</v>
      </c>
      <c r="L692">
        <v>5</v>
      </c>
      <c r="M692">
        <v>8</v>
      </c>
      <c r="N692">
        <v>6300000</v>
      </c>
      <c r="O692">
        <f>PropertyData[[#This Row],[Price]]/PropertyData[[#This Row],[Area_sqft]]</f>
        <v>4816.5137614678897</v>
      </c>
      <c r="P692" t="str">
        <f t="shared" si="10"/>
        <v>Mid-Range</v>
      </c>
    </row>
    <row r="693" spans="1:16">
      <c r="A693" t="s">
        <v>705</v>
      </c>
      <c r="B693" t="s">
        <v>1015</v>
      </c>
      <c r="C693">
        <v>1574</v>
      </c>
      <c r="D693">
        <v>3</v>
      </c>
      <c r="E693">
        <v>3</v>
      </c>
      <c r="F693">
        <v>29</v>
      </c>
      <c r="G693" t="s">
        <v>1022</v>
      </c>
      <c r="H693" t="s">
        <v>1023</v>
      </c>
      <c r="I693" t="s">
        <v>1022</v>
      </c>
      <c r="J693" t="s">
        <v>1022</v>
      </c>
      <c r="K693" t="s">
        <v>1025</v>
      </c>
      <c r="L693">
        <v>3</v>
      </c>
      <c r="M693">
        <v>22</v>
      </c>
      <c r="N693">
        <v>5250000</v>
      </c>
      <c r="O693">
        <f>PropertyData[[#This Row],[Price]]/PropertyData[[#This Row],[Area_sqft]]</f>
        <v>3335.451080050826</v>
      </c>
      <c r="P693" t="str">
        <f t="shared" si="10"/>
        <v>Mid-Range</v>
      </c>
    </row>
    <row r="694" spans="1:16">
      <c r="A694" t="s">
        <v>706</v>
      </c>
      <c r="B694" t="s">
        <v>1014</v>
      </c>
      <c r="C694">
        <v>2032</v>
      </c>
      <c r="D694">
        <v>5</v>
      </c>
      <c r="E694">
        <v>5</v>
      </c>
      <c r="F694">
        <v>25</v>
      </c>
      <c r="G694" t="s">
        <v>1022</v>
      </c>
      <c r="H694" t="s">
        <v>1022</v>
      </c>
      <c r="I694" t="s">
        <v>1022</v>
      </c>
      <c r="J694" t="s">
        <v>1022</v>
      </c>
      <c r="K694" t="s">
        <v>1026</v>
      </c>
      <c r="L694">
        <v>12</v>
      </c>
      <c r="M694">
        <v>23</v>
      </c>
      <c r="N694">
        <v>16800000</v>
      </c>
      <c r="O694">
        <f>PropertyData[[#This Row],[Price]]/PropertyData[[#This Row],[Area_sqft]]</f>
        <v>8267.71653543307</v>
      </c>
      <c r="P694" t="str">
        <f t="shared" si="10"/>
        <v>Premium</v>
      </c>
    </row>
    <row r="695" spans="1:16">
      <c r="A695" t="s">
        <v>707</v>
      </c>
      <c r="B695" t="s">
        <v>1021</v>
      </c>
      <c r="C695">
        <v>1593</v>
      </c>
      <c r="D695">
        <v>3</v>
      </c>
      <c r="E695">
        <v>3</v>
      </c>
      <c r="F695">
        <v>19</v>
      </c>
      <c r="G695" t="s">
        <v>1022</v>
      </c>
      <c r="H695" t="s">
        <v>1022</v>
      </c>
      <c r="I695" t="s">
        <v>1022</v>
      </c>
      <c r="J695" t="s">
        <v>1022</v>
      </c>
      <c r="K695" t="s">
        <v>1025</v>
      </c>
      <c r="L695">
        <v>9</v>
      </c>
      <c r="M695">
        <v>12</v>
      </c>
      <c r="N695">
        <v>9600000</v>
      </c>
      <c r="O695">
        <f>PropertyData[[#This Row],[Price]]/PropertyData[[#This Row],[Area_sqft]]</f>
        <v>6026.3653483992466</v>
      </c>
      <c r="P695" t="str">
        <f t="shared" si="10"/>
        <v>Mid-Range</v>
      </c>
    </row>
    <row r="696" spans="1:16">
      <c r="A696" t="s">
        <v>708</v>
      </c>
      <c r="B696" t="s">
        <v>1018</v>
      </c>
      <c r="C696">
        <v>737</v>
      </c>
      <c r="D696">
        <v>1</v>
      </c>
      <c r="E696">
        <v>1</v>
      </c>
      <c r="F696">
        <v>12</v>
      </c>
      <c r="G696" t="s">
        <v>1022</v>
      </c>
      <c r="H696" t="s">
        <v>1022</v>
      </c>
      <c r="I696" t="s">
        <v>1023</v>
      </c>
      <c r="J696" t="s">
        <v>1023</v>
      </c>
      <c r="K696" t="s">
        <v>1025</v>
      </c>
      <c r="L696">
        <v>19</v>
      </c>
      <c r="M696">
        <v>21</v>
      </c>
      <c r="N696">
        <v>3700000</v>
      </c>
      <c r="O696">
        <f>PropertyData[[#This Row],[Price]]/PropertyData[[#This Row],[Area_sqft]]</f>
        <v>5020.3527815468115</v>
      </c>
      <c r="P696" t="str">
        <f t="shared" si="10"/>
        <v>Budget</v>
      </c>
    </row>
    <row r="697" spans="1:16">
      <c r="A697" t="s">
        <v>709</v>
      </c>
      <c r="B697" t="s">
        <v>1017</v>
      </c>
      <c r="C697">
        <v>777</v>
      </c>
      <c r="D697">
        <v>1</v>
      </c>
      <c r="E697">
        <v>2</v>
      </c>
      <c r="F697">
        <v>19</v>
      </c>
      <c r="G697" t="s">
        <v>1022</v>
      </c>
      <c r="H697" t="s">
        <v>1022</v>
      </c>
      <c r="I697" t="s">
        <v>1022</v>
      </c>
      <c r="J697" t="s">
        <v>1022</v>
      </c>
      <c r="K697" t="s">
        <v>1025</v>
      </c>
      <c r="L697">
        <v>12</v>
      </c>
      <c r="M697">
        <v>21</v>
      </c>
      <c r="N697">
        <v>3300000</v>
      </c>
      <c r="O697">
        <f>PropertyData[[#This Row],[Price]]/PropertyData[[#This Row],[Area_sqft]]</f>
        <v>4247.1042471042474</v>
      </c>
      <c r="P697" t="str">
        <f t="shared" si="10"/>
        <v>Budget</v>
      </c>
    </row>
    <row r="698" spans="1:16">
      <c r="A698" t="s">
        <v>710</v>
      </c>
      <c r="B698" t="s">
        <v>1021</v>
      </c>
      <c r="C698">
        <v>1437</v>
      </c>
      <c r="D698">
        <v>3</v>
      </c>
      <c r="E698">
        <v>3</v>
      </c>
      <c r="F698">
        <v>8</v>
      </c>
      <c r="G698" t="s">
        <v>1022</v>
      </c>
      <c r="H698" t="s">
        <v>1022</v>
      </c>
      <c r="I698" t="s">
        <v>1022</v>
      </c>
      <c r="J698" t="s">
        <v>1022</v>
      </c>
      <c r="K698" t="s">
        <v>1026</v>
      </c>
      <c r="L698">
        <v>6</v>
      </c>
      <c r="M698">
        <v>24</v>
      </c>
      <c r="N698">
        <v>13550000</v>
      </c>
      <c r="O698">
        <f>PropertyData[[#This Row],[Price]]/PropertyData[[#This Row],[Area_sqft]]</f>
        <v>9429.3667362560882</v>
      </c>
      <c r="P698" t="str">
        <f t="shared" si="10"/>
        <v>Premium</v>
      </c>
    </row>
    <row r="699" spans="1:16">
      <c r="A699" t="s">
        <v>711</v>
      </c>
      <c r="B699" t="s">
        <v>1021</v>
      </c>
      <c r="C699">
        <v>1317</v>
      </c>
      <c r="D699">
        <v>3</v>
      </c>
      <c r="E699">
        <v>3</v>
      </c>
      <c r="F699">
        <v>24</v>
      </c>
      <c r="G699" t="s">
        <v>1022</v>
      </c>
      <c r="H699" t="s">
        <v>1023</v>
      </c>
      <c r="I699" t="s">
        <v>1023</v>
      </c>
      <c r="J699" t="s">
        <v>1022</v>
      </c>
      <c r="K699" t="s">
        <v>1024</v>
      </c>
      <c r="L699">
        <v>8</v>
      </c>
      <c r="M699">
        <v>16</v>
      </c>
      <c r="N699">
        <v>8050000</v>
      </c>
      <c r="O699">
        <f>PropertyData[[#This Row],[Price]]/PropertyData[[#This Row],[Area_sqft]]</f>
        <v>6112.3766135155656</v>
      </c>
      <c r="P699" t="str">
        <f t="shared" si="10"/>
        <v>Mid-Range</v>
      </c>
    </row>
    <row r="700" spans="1:16">
      <c r="A700" t="s">
        <v>712</v>
      </c>
      <c r="B700" t="s">
        <v>1015</v>
      </c>
      <c r="C700">
        <v>1030</v>
      </c>
      <c r="D700">
        <v>2</v>
      </c>
      <c r="E700">
        <v>3</v>
      </c>
      <c r="F700">
        <v>29</v>
      </c>
      <c r="G700" t="s">
        <v>1022</v>
      </c>
      <c r="H700" t="s">
        <v>1022</v>
      </c>
      <c r="I700" t="s">
        <v>1022</v>
      </c>
      <c r="J700" t="s">
        <v>1022</v>
      </c>
      <c r="K700" t="s">
        <v>1024</v>
      </c>
      <c r="L700">
        <v>4</v>
      </c>
      <c r="M700">
        <v>11</v>
      </c>
      <c r="N700">
        <v>4200000</v>
      </c>
      <c r="O700">
        <f>PropertyData[[#This Row],[Price]]/PropertyData[[#This Row],[Area_sqft]]</f>
        <v>4077.6699029126212</v>
      </c>
      <c r="P700" t="str">
        <f t="shared" si="10"/>
        <v>Budget</v>
      </c>
    </row>
    <row r="701" spans="1:16">
      <c r="A701" t="s">
        <v>713</v>
      </c>
      <c r="B701" t="s">
        <v>1018</v>
      </c>
      <c r="C701">
        <v>1135</v>
      </c>
      <c r="D701">
        <v>3</v>
      </c>
      <c r="E701">
        <v>2</v>
      </c>
      <c r="F701">
        <v>12</v>
      </c>
      <c r="G701" t="s">
        <v>1022</v>
      </c>
      <c r="H701" t="s">
        <v>1022</v>
      </c>
      <c r="I701" t="s">
        <v>1023</v>
      </c>
      <c r="J701" t="s">
        <v>1022</v>
      </c>
      <c r="K701" t="s">
        <v>1025</v>
      </c>
      <c r="L701">
        <v>15</v>
      </c>
      <c r="M701">
        <v>20</v>
      </c>
      <c r="N701">
        <v>5950000</v>
      </c>
      <c r="O701">
        <f>PropertyData[[#This Row],[Price]]/PropertyData[[#This Row],[Area_sqft]]</f>
        <v>5242.2907488986784</v>
      </c>
      <c r="P701" t="str">
        <f t="shared" si="10"/>
        <v>Mid-Range</v>
      </c>
    </row>
    <row r="702" spans="1:16">
      <c r="A702" t="s">
        <v>714</v>
      </c>
      <c r="B702" t="s">
        <v>1016</v>
      </c>
      <c r="C702">
        <v>1078</v>
      </c>
      <c r="D702">
        <v>2</v>
      </c>
      <c r="E702">
        <v>3</v>
      </c>
      <c r="F702">
        <v>11</v>
      </c>
      <c r="G702" t="s">
        <v>1023</v>
      </c>
      <c r="H702" t="s">
        <v>1022</v>
      </c>
      <c r="I702" t="s">
        <v>1023</v>
      </c>
      <c r="J702" t="s">
        <v>1022</v>
      </c>
      <c r="K702" t="s">
        <v>1024</v>
      </c>
      <c r="L702">
        <v>16</v>
      </c>
      <c r="M702">
        <v>19</v>
      </c>
      <c r="N702">
        <v>5950000</v>
      </c>
      <c r="O702">
        <f>PropertyData[[#This Row],[Price]]/PropertyData[[#This Row],[Area_sqft]]</f>
        <v>5519.4805194805194</v>
      </c>
      <c r="P702" t="str">
        <f t="shared" si="10"/>
        <v>Mid-Range</v>
      </c>
    </row>
    <row r="703" spans="1:16">
      <c r="A703" t="s">
        <v>715</v>
      </c>
      <c r="B703" t="s">
        <v>1018</v>
      </c>
      <c r="C703">
        <v>1394</v>
      </c>
      <c r="D703">
        <v>3</v>
      </c>
      <c r="E703">
        <v>3</v>
      </c>
      <c r="F703">
        <v>16</v>
      </c>
      <c r="G703" t="s">
        <v>1022</v>
      </c>
      <c r="H703" t="s">
        <v>1022</v>
      </c>
      <c r="I703" t="s">
        <v>1022</v>
      </c>
      <c r="J703" t="s">
        <v>1022</v>
      </c>
      <c r="K703" t="s">
        <v>1025</v>
      </c>
      <c r="L703">
        <v>15</v>
      </c>
      <c r="M703">
        <v>16</v>
      </c>
      <c r="N703">
        <v>7500000</v>
      </c>
      <c r="O703">
        <f>PropertyData[[#This Row],[Price]]/PropertyData[[#This Row],[Area_sqft]]</f>
        <v>5380.2008608321376</v>
      </c>
      <c r="P703" t="str">
        <f t="shared" si="10"/>
        <v>Mid-Range</v>
      </c>
    </row>
    <row r="704" spans="1:16">
      <c r="A704" t="s">
        <v>716</v>
      </c>
      <c r="B704" t="s">
        <v>1021</v>
      </c>
      <c r="C704">
        <v>1122</v>
      </c>
      <c r="D704">
        <v>2</v>
      </c>
      <c r="E704">
        <v>2</v>
      </c>
      <c r="F704">
        <v>7</v>
      </c>
      <c r="G704" t="s">
        <v>1022</v>
      </c>
      <c r="H704" t="s">
        <v>1022</v>
      </c>
      <c r="I704" t="s">
        <v>1023</v>
      </c>
      <c r="J704" t="s">
        <v>1022</v>
      </c>
      <c r="K704" t="s">
        <v>1025</v>
      </c>
      <c r="L704">
        <v>17</v>
      </c>
      <c r="M704">
        <v>22</v>
      </c>
      <c r="N704">
        <v>6250000</v>
      </c>
      <c r="O704">
        <f>PropertyData[[#This Row],[Price]]/PropertyData[[#This Row],[Area_sqft]]</f>
        <v>5570.4099821746877</v>
      </c>
      <c r="P704" t="str">
        <f t="shared" si="10"/>
        <v>Mid-Range</v>
      </c>
    </row>
    <row r="705" spans="1:16">
      <c r="A705" t="s">
        <v>717</v>
      </c>
      <c r="B705" t="s">
        <v>1014</v>
      </c>
      <c r="C705">
        <v>2004</v>
      </c>
      <c r="D705">
        <v>5</v>
      </c>
      <c r="E705">
        <v>5</v>
      </c>
      <c r="F705">
        <v>6</v>
      </c>
      <c r="G705" t="s">
        <v>1023</v>
      </c>
      <c r="H705" t="s">
        <v>1023</v>
      </c>
      <c r="I705" t="s">
        <v>1023</v>
      </c>
      <c r="J705" t="s">
        <v>1022</v>
      </c>
      <c r="K705" t="s">
        <v>1025</v>
      </c>
      <c r="L705">
        <v>16</v>
      </c>
      <c r="M705">
        <v>19</v>
      </c>
      <c r="N705">
        <v>13850000</v>
      </c>
      <c r="O705">
        <f>PropertyData[[#This Row],[Price]]/PropertyData[[#This Row],[Area_sqft]]</f>
        <v>6911.1776447105785</v>
      </c>
      <c r="P705" t="str">
        <f t="shared" si="10"/>
        <v>Premium</v>
      </c>
    </row>
    <row r="706" spans="1:16">
      <c r="A706" t="s">
        <v>718</v>
      </c>
      <c r="B706" t="s">
        <v>1015</v>
      </c>
      <c r="C706">
        <v>1188</v>
      </c>
      <c r="D706">
        <v>2</v>
      </c>
      <c r="E706">
        <v>3</v>
      </c>
      <c r="F706">
        <v>12</v>
      </c>
      <c r="G706" t="s">
        <v>1023</v>
      </c>
      <c r="H706" t="s">
        <v>1022</v>
      </c>
      <c r="I706" t="s">
        <v>1023</v>
      </c>
      <c r="J706" t="s">
        <v>1023</v>
      </c>
      <c r="K706" t="s">
        <v>1025</v>
      </c>
      <c r="L706">
        <v>5</v>
      </c>
      <c r="M706">
        <v>22</v>
      </c>
      <c r="N706">
        <v>3750000</v>
      </c>
      <c r="O706">
        <f>PropertyData[[#This Row],[Price]]/PropertyData[[#This Row],[Area_sqft]]</f>
        <v>3156.5656565656564</v>
      </c>
      <c r="P706" t="str">
        <f t="shared" ref="P706:P769" si="11">IF(N706&lt;5000000,"Budget",IF(N706&lt;=10000000,"Mid-Range","Premium"))</f>
        <v>Budget</v>
      </c>
    </row>
    <row r="707" spans="1:16">
      <c r="A707" t="s">
        <v>719</v>
      </c>
      <c r="B707" t="s">
        <v>1014</v>
      </c>
      <c r="C707">
        <v>1153</v>
      </c>
      <c r="D707">
        <v>3</v>
      </c>
      <c r="E707">
        <v>3</v>
      </c>
      <c r="F707">
        <v>19</v>
      </c>
      <c r="G707" t="s">
        <v>1023</v>
      </c>
      <c r="H707" t="s">
        <v>1022</v>
      </c>
      <c r="I707" t="s">
        <v>1022</v>
      </c>
      <c r="J707" t="s">
        <v>1022</v>
      </c>
      <c r="K707" t="s">
        <v>1025</v>
      </c>
      <c r="L707">
        <v>5</v>
      </c>
      <c r="M707">
        <v>24</v>
      </c>
      <c r="N707">
        <v>7650000</v>
      </c>
      <c r="O707">
        <f>PropertyData[[#This Row],[Price]]/PropertyData[[#This Row],[Area_sqft]]</f>
        <v>6634.8655680832608</v>
      </c>
      <c r="P707" t="str">
        <f t="shared" si="11"/>
        <v>Mid-Range</v>
      </c>
    </row>
    <row r="708" spans="1:16">
      <c r="A708" t="s">
        <v>720</v>
      </c>
      <c r="B708" t="s">
        <v>1015</v>
      </c>
      <c r="C708">
        <v>1622</v>
      </c>
      <c r="D708">
        <v>4</v>
      </c>
      <c r="E708">
        <v>4</v>
      </c>
      <c r="F708">
        <v>26</v>
      </c>
      <c r="G708" t="s">
        <v>1023</v>
      </c>
      <c r="H708" t="s">
        <v>1022</v>
      </c>
      <c r="I708" t="s">
        <v>1022</v>
      </c>
      <c r="J708" t="s">
        <v>1022</v>
      </c>
      <c r="K708" t="s">
        <v>1024</v>
      </c>
      <c r="L708">
        <v>11</v>
      </c>
      <c r="M708">
        <v>15</v>
      </c>
      <c r="N708">
        <v>6300000</v>
      </c>
      <c r="O708">
        <f>PropertyData[[#This Row],[Price]]/PropertyData[[#This Row],[Area_sqft]]</f>
        <v>3884.0937114673243</v>
      </c>
      <c r="P708" t="str">
        <f t="shared" si="11"/>
        <v>Mid-Range</v>
      </c>
    </row>
    <row r="709" spans="1:16">
      <c r="A709" t="s">
        <v>721</v>
      </c>
      <c r="B709" t="s">
        <v>1018</v>
      </c>
      <c r="C709">
        <v>1293</v>
      </c>
      <c r="D709">
        <v>3</v>
      </c>
      <c r="E709">
        <v>3</v>
      </c>
      <c r="F709">
        <v>30</v>
      </c>
      <c r="G709" t="s">
        <v>1022</v>
      </c>
      <c r="H709" t="s">
        <v>1022</v>
      </c>
      <c r="I709" t="s">
        <v>1023</v>
      </c>
      <c r="J709" t="s">
        <v>1022</v>
      </c>
      <c r="K709" t="s">
        <v>1025</v>
      </c>
      <c r="L709">
        <v>9</v>
      </c>
      <c r="M709">
        <v>20</v>
      </c>
      <c r="N709">
        <v>4900000</v>
      </c>
      <c r="O709">
        <f>PropertyData[[#This Row],[Price]]/PropertyData[[#This Row],[Area_sqft]]</f>
        <v>3789.6365042536736</v>
      </c>
      <c r="P709" t="str">
        <f t="shared" si="11"/>
        <v>Budget</v>
      </c>
    </row>
    <row r="710" spans="1:16">
      <c r="A710" t="s">
        <v>722</v>
      </c>
      <c r="B710" t="s">
        <v>1020</v>
      </c>
      <c r="C710">
        <v>1549</v>
      </c>
      <c r="D710">
        <v>3</v>
      </c>
      <c r="E710">
        <v>2</v>
      </c>
      <c r="F710">
        <v>13</v>
      </c>
      <c r="G710" t="s">
        <v>1022</v>
      </c>
      <c r="H710" t="s">
        <v>1022</v>
      </c>
      <c r="I710" t="s">
        <v>1023</v>
      </c>
      <c r="J710" t="s">
        <v>1022</v>
      </c>
      <c r="K710" t="s">
        <v>1025</v>
      </c>
      <c r="L710">
        <v>19</v>
      </c>
      <c r="M710">
        <v>23</v>
      </c>
      <c r="N710">
        <v>10150000</v>
      </c>
      <c r="O710">
        <f>PropertyData[[#This Row],[Price]]/PropertyData[[#This Row],[Area_sqft]]</f>
        <v>6552.6145900581023</v>
      </c>
      <c r="P710" t="str">
        <f t="shared" si="11"/>
        <v>Premium</v>
      </c>
    </row>
    <row r="711" spans="1:16">
      <c r="A711" t="s">
        <v>723</v>
      </c>
      <c r="B711" t="s">
        <v>1020</v>
      </c>
      <c r="C711">
        <v>1433</v>
      </c>
      <c r="D711">
        <v>3</v>
      </c>
      <c r="E711">
        <v>3</v>
      </c>
      <c r="F711">
        <v>7</v>
      </c>
      <c r="G711" t="s">
        <v>1022</v>
      </c>
      <c r="H711" t="s">
        <v>1023</v>
      </c>
      <c r="I711" t="s">
        <v>1023</v>
      </c>
      <c r="J711" t="s">
        <v>1022</v>
      </c>
      <c r="K711" t="s">
        <v>1026</v>
      </c>
      <c r="L711">
        <v>14</v>
      </c>
      <c r="M711">
        <v>24</v>
      </c>
      <c r="N711">
        <v>12500000</v>
      </c>
      <c r="O711">
        <f>PropertyData[[#This Row],[Price]]/PropertyData[[#This Row],[Area_sqft]]</f>
        <v>8722.9588276343329</v>
      </c>
      <c r="P711" t="str">
        <f t="shared" si="11"/>
        <v>Premium</v>
      </c>
    </row>
    <row r="712" spans="1:16">
      <c r="A712" t="s">
        <v>724</v>
      </c>
      <c r="B712" t="s">
        <v>1017</v>
      </c>
      <c r="C712">
        <v>1425</v>
      </c>
      <c r="D712">
        <v>3</v>
      </c>
      <c r="E712">
        <v>3</v>
      </c>
      <c r="F712">
        <v>22</v>
      </c>
      <c r="G712" t="s">
        <v>1022</v>
      </c>
      <c r="H712" t="s">
        <v>1022</v>
      </c>
      <c r="I712" t="s">
        <v>1023</v>
      </c>
      <c r="J712" t="s">
        <v>1022</v>
      </c>
      <c r="K712" t="s">
        <v>1025</v>
      </c>
      <c r="L712">
        <v>8</v>
      </c>
      <c r="M712">
        <v>8</v>
      </c>
      <c r="N712">
        <v>4950000</v>
      </c>
      <c r="O712">
        <f>PropertyData[[#This Row],[Price]]/PropertyData[[#This Row],[Area_sqft]]</f>
        <v>3473.6842105263158</v>
      </c>
      <c r="P712" t="str">
        <f t="shared" si="11"/>
        <v>Budget</v>
      </c>
    </row>
    <row r="713" spans="1:16">
      <c r="A713" t="s">
        <v>725</v>
      </c>
      <c r="B713" t="s">
        <v>1019</v>
      </c>
      <c r="C713">
        <v>1775</v>
      </c>
      <c r="D713">
        <v>4</v>
      </c>
      <c r="E713">
        <v>5</v>
      </c>
      <c r="F713">
        <v>14</v>
      </c>
      <c r="G713" t="s">
        <v>1022</v>
      </c>
      <c r="H713" t="s">
        <v>1022</v>
      </c>
      <c r="I713" t="s">
        <v>1022</v>
      </c>
      <c r="J713" t="s">
        <v>1022</v>
      </c>
      <c r="K713" t="s">
        <v>1024</v>
      </c>
      <c r="L713">
        <v>9</v>
      </c>
      <c r="M713">
        <v>22</v>
      </c>
      <c r="N713">
        <v>16050000</v>
      </c>
      <c r="O713">
        <f>PropertyData[[#This Row],[Price]]/PropertyData[[#This Row],[Area_sqft]]</f>
        <v>9042.2535211267605</v>
      </c>
      <c r="P713" t="str">
        <f t="shared" si="11"/>
        <v>Premium</v>
      </c>
    </row>
    <row r="714" spans="1:16">
      <c r="A714" t="s">
        <v>726</v>
      </c>
      <c r="B714" t="s">
        <v>1019</v>
      </c>
      <c r="C714">
        <v>1878</v>
      </c>
      <c r="D714">
        <v>4</v>
      </c>
      <c r="E714">
        <v>3</v>
      </c>
      <c r="F714">
        <v>26</v>
      </c>
      <c r="G714" t="s">
        <v>1022</v>
      </c>
      <c r="H714" t="s">
        <v>1022</v>
      </c>
      <c r="I714" t="s">
        <v>1023</v>
      </c>
      <c r="J714" t="s">
        <v>1022</v>
      </c>
      <c r="K714" t="s">
        <v>1025</v>
      </c>
      <c r="L714">
        <v>1</v>
      </c>
      <c r="M714">
        <v>10</v>
      </c>
      <c r="N714">
        <v>12900000</v>
      </c>
      <c r="O714">
        <f>PropertyData[[#This Row],[Price]]/PropertyData[[#This Row],[Area_sqft]]</f>
        <v>6869.0095846645363</v>
      </c>
      <c r="P714" t="str">
        <f t="shared" si="11"/>
        <v>Premium</v>
      </c>
    </row>
    <row r="715" spans="1:16">
      <c r="A715" t="s">
        <v>727</v>
      </c>
      <c r="B715" t="s">
        <v>1021</v>
      </c>
      <c r="C715">
        <v>1275</v>
      </c>
      <c r="D715">
        <v>2</v>
      </c>
      <c r="E715">
        <v>2</v>
      </c>
      <c r="F715">
        <v>5</v>
      </c>
      <c r="G715" t="s">
        <v>1022</v>
      </c>
      <c r="H715" t="s">
        <v>1023</v>
      </c>
      <c r="I715" t="s">
        <v>1023</v>
      </c>
      <c r="J715" t="s">
        <v>1022</v>
      </c>
      <c r="K715" t="s">
        <v>1025</v>
      </c>
      <c r="L715">
        <v>19</v>
      </c>
      <c r="M715">
        <v>20</v>
      </c>
      <c r="N715">
        <v>8500000</v>
      </c>
      <c r="O715">
        <f>PropertyData[[#This Row],[Price]]/PropertyData[[#This Row],[Area_sqft]]</f>
        <v>6666.666666666667</v>
      </c>
      <c r="P715" t="str">
        <f t="shared" si="11"/>
        <v>Mid-Range</v>
      </c>
    </row>
    <row r="716" spans="1:16">
      <c r="A716" t="s">
        <v>728</v>
      </c>
      <c r="B716" t="s">
        <v>1021</v>
      </c>
      <c r="C716">
        <v>1301</v>
      </c>
      <c r="D716">
        <v>3</v>
      </c>
      <c r="E716">
        <v>4</v>
      </c>
      <c r="F716">
        <v>20</v>
      </c>
      <c r="G716" t="s">
        <v>1023</v>
      </c>
      <c r="H716" t="s">
        <v>1022</v>
      </c>
      <c r="I716" t="s">
        <v>1023</v>
      </c>
      <c r="J716" t="s">
        <v>1022</v>
      </c>
      <c r="K716" t="s">
        <v>1024</v>
      </c>
      <c r="L716">
        <v>5</v>
      </c>
      <c r="M716">
        <v>10</v>
      </c>
      <c r="N716">
        <v>7200000</v>
      </c>
      <c r="O716">
        <f>PropertyData[[#This Row],[Price]]/PropertyData[[#This Row],[Area_sqft]]</f>
        <v>5534.2044581091468</v>
      </c>
      <c r="P716" t="str">
        <f t="shared" si="11"/>
        <v>Mid-Range</v>
      </c>
    </row>
    <row r="717" spans="1:16">
      <c r="A717" t="s">
        <v>729</v>
      </c>
      <c r="B717" t="s">
        <v>1014</v>
      </c>
      <c r="C717">
        <v>450</v>
      </c>
      <c r="D717">
        <v>1</v>
      </c>
      <c r="E717">
        <v>1</v>
      </c>
      <c r="F717">
        <v>20</v>
      </c>
      <c r="G717" t="s">
        <v>1022</v>
      </c>
      <c r="H717" t="s">
        <v>1023</v>
      </c>
      <c r="I717" t="s">
        <v>1022</v>
      </c>
      <c r="J717" t="s">
        <v>1022</v>
      </c>
      <c r="K717" t="s">
        <v>1025</v>
      </c>
      <c r="L717">
        <v>9</v>
      </c>
      <c r="M717">
        <v>13</v>
      </c>
      <c r="N717">
        <v>3100000</v>
      </c>
      <c r="O717">
        <f>PropertyData[[#This Row],[Price]]/PropertyData[[#This Row],[Area_sqft]]</f>
        <v>6888.8888888888887</v>
      </c>
      <c r="P717" t="str">
        <f t="shared" si="11"/>
        <v>Budget</v>
      </c>
    </row>
    <row r="718" spans="1:16">
      <c r="A718" t="s">
        <v>730</v>
      </c>
      <c r="B718" t="s">
        <v>1020</v>
      </c>
      <c r="C718">
        <v>1237</v>
      </c>
      <c r="D718">
        <v>2</v>
      </c>
      <c r="E718">
        <v>2</v>
      </c>
      <c r="F718">
        <v>5</v>
      </c>
      <c r="G718" t="s">
        <v>1023</v>
      </c>
      <c r="H718" t="s">
        <v>1023</v>
      </c>
      <c r="I718" t="s">
        <v>1023</v>
      </c>
      <c r="J718" t="s">
        <v>1022</v>
      </c>
      <c r="K718" t="s">
        <v>1025</v>
      </c>
      <c r="L718">
        <v>20</v>
      </c>
      <c r="M718">
        <v>23</v>
      </c>
      <c r="N718">
        <v>8250000</v>
      </c>
      <c r="O718">
        <f>PropertyData[[#This Row],[Price]]/PropertyData[[#This Row],[Area_sqft]]</f>
        <v>6669.3613581244945</v>
      </c>
      <c r="P718" t="str">
        <f t="shared" si="11"/>
        <v>Mid-Range</v>
      </c>
    </row>
    <row r="719" spans="1:16">
      <c r="A719" t="s">
        <v>731</v>
      </c>
      <c r="B719" t="s">
        <v>1017</v>
      </c>
      <c r="C719">
        <v>1647</v>
      </c>
      <c r="D719">
        <v>4</v>
      </c>
      <c r="E719">
        <v>5</v>
      </c>
      <c r="F719">
        <v>14</v>
      </c>
      <c r="G719" t="s">
        <v>1022</v>
      </c>
      <c r="H719" t="s">
        <v>1023</v>
      </c>
      <c r="I719" t="s">
        <v>1022</v>
      </c>
      <c r="J719" t="s">
        <v>1022</v>
      </c>
      <c r="K719" t="s">
        <v>1025</v>
      </c>
      <c r="L719">
        <v>9</v>
      </c>
      <c r="M719">
        <v>13</v>
      </c>
      <c r="N719">
        <v>6250000</v>
      </c>
      <c r="O719">
        <f>PropertyData[[#This Row],[Price]]/PropertyData[[#This Row],[Area_sqft]]</f>
        <v>3794.7783849423195</v>
      </c>
      <c r="P719" t="str">
        <f t="shared" si="11"/>
        <v>Mid-Range</v>
      </c>
    </row>
    <row r="720" spans="1:16">
      <c r="A720" t="s">
        <v>732</v>
      </c>
      <c r="B720" t="s">
        <v>1016</v>
      </c>
      <c r="C720">
        <v>1878</v>
      </c>
      <c r="D720">
        <v>3</v>
      </c>
      <c r="E720">
        <v>3</v>
      </c>
      <c r="F720">
        <v>9</v>
      </c>
      <c r="G720" t="s">
        <v>1022</v>
      </c>
      <c r="H720" t="s">
        <v>1022</v>
      </c>
      <c r="I720" t="s">
        <v>1022</v>
      </c>
      <c r="J720" t="s">
        <v>1023</v>
      </c>
      <c r="K720" t="s">
        <v>1026</v>
      </c>
      <c r="L720">
        <v>9</v>
      </c>
      <c r="M720">
        <v>14</v>
      </c>
      <c r="N720">
        <v>11900000</v>
      </c>
      <c r="O720">
        <f>PropertyData[[#This Row],[Price]]/PropertyData[[#This Row],[Area_sqft]]</f>
        <v>6336.528221512247</v>
      </c>
      <c r="P720" t="str">
        <f t="shared" si="11"/>
        <v>Premium</v>
      </c>
    </row>
    <row r="721" spans="1:16">
      <c r="A721" t="s">
        <v>733</v>
      </c>
      <c r="B721" t="s">
        <v>1015</v>
      </c>
      <c r="C721">
        <v>1263</v>
      </c>
      <c r="D721">
        <v>2</v>
      </c>
      <c r="E721">
        <v>2</v>
      </c>
      <c r="F721">
        <v>8</v>
      </c>
      <c r="G721" t="s">
        <v>1022</v>
      </c>
      <c r="H721" t="s">
        <v>1022</v>
      </c>
      <c r="I721" t="s">
        <v>1023</v>
      </c>
      <c r="J721" t="s">
        <v>1023</v>
      </c>
      <c r="K721" t="s">
        <v>1025</v>
      </c>
      <c r="L721">
        <v>17</v>
      </c>
      <c r="M721">
        <v>17</v>
      </c>
      <c r="N721">
        <v>4000000</v>
      </c>
      <c r="O721">
        <f>PropertyData[[#This Row],[Price]]/PropertyData[[#This Row],[Area_sqft]]</f>
        <v>3167.0625494853525</v>
      </c>
      <c r="P721" t="str">
        <f t="shared" si="11"/>
        <v>Budget</v>
      </c>
    </row>
    <row r="722" spans="1:16">
      <c r="A722" t="s">
        <v>734</v>
      </c>
      <c r="B722" t="s">
        <v>1014</v>
      </c>
      <c r="C722">
        <v>1721</v>
      </c>
      <c r="D722">
        <v>3</v>
      </c>
      <c r="E722">
        <v>2</v>
      </c>
      <c r="F722">
        <v>18</v>
      </c>
      <c r="G722" t="s">
        <v>1022</v>
      </c>
      <c r="H722" t="s">
        <v>1023</v>
      </c>
      <c r="I722" t="s">
        <v>1023</v>
      </c>
      <c r="J722" t="s">
        <v>1022</v>
      </c>
      <c r="K722" t="s">
        <v>1025</v>
      </c>
      <c r="L722">
        <v>13</v>
      </c>
      <c r="M722">
        <v>23</v>
      </c>
      <c r="N722">
        <v>11050000</v>
      </c>
      <c r="O722">
        <f>PropertyData[[#This Row],[Price]]/PropertyData[[#This Row],[Area_sqft]]</f>
        <v>6420.6856478791397</v>
      </c>
      <c r="P722" t="str">
        <f t="shared" si="11"/>
        <v>Premium</v>
      </c>
    </row>
    <row r="723" spans="1:16">
      <c r="A723" t="s">
        <v>735</v>
      </c>
      <c r="B723" t="s">
        <v>1021</v>
      </c>
      <c r="C723">
        <v>878</v>
      </c>
      <c r="D723">
        <v>2</v>
      </c>
      <c r="E723">
        <v>1</v>
      </c>
      <c r="F723">
        <v>30</v>
      </c>
      <c r="G723" t="s">
        <v>1023</v>
      </c>
      <c r="H723" t="s">
        <v>1023</v>
      </c>
      <c r="I723" t="s">
        <v>1023</v>
      </c>
      <c r="J723" t="s">
        <v>1022</v>
      </c>
      <c r="K723" t="s">
        <v>1025</v>
      </c>
      <c r="L723">
        <v>15</v>
      </c>
      <c r="M723">
        <v>23</v>
      </c>
      <c r="N723">
        <v>4700000</v>
      </c>
      <c r="O723">
        <f>PropertyData[[#This Row],[Price]]/PropertyData[[#This Row],[Area_sqft]]</f>
        <v>5353.0751708428243</v>
      </c>
      <c r="P723" t="str">
        <f t="shared" si="11"/>
        <v>Budget</v>
      </c>
    </row>
    <row r="724" spans="1:16">
      <c r="A724" t="s">
        <v>736</v>
      </c>
      <c r="B724" t="s">
        <v>1018</v>
      </c>
      <c r="C724">
        <v>2057</v>
      </c>
      <c r="D724">
        <v>4</v>
      </c>
      <c r="E724">
        <v>5</v>
      </c>
      <c r="F724">
        <v>18</v>
      </c>
      <c r="G724" t="s">
        <v>1022</v>
      </c>
      <c r="H724" t="s">
        <v>1023</v>
      </c>
      <c r="I724" t="s">
        <v>1023</v>
      </c>
      <c r="J724" t="s">
        <v>1022</v>
      </c>
      <c r="K724" t="s">
        <v>1024</v>
      </c>
      <c r="L724">
        <v>15</v>
      </c>
      <c r="M724">
        <v>19</v>
      </c>
      <c r="N724">
        <v>9100000</v>
      </c>
      <c r="O724">
        <f>PropertyData[[#This Row],[Price]]/PropertyData[[#This Row],[Area_sqft]]</f>
        <v>4423.9183276616432</v>
      </c>
      <c r="P724" t="str">
        <f t="shared" si="11"/>
        <v>Mid-Range</v>
      </c>
    </row>
    <row r="725" spans="1:16">
      <c r="A725" t="s">
        <v>737</v>
      </c>
      <c r="B725" t="s">
        <v>1017</v>
      </c>
      <c r="C725">
        <v>1128</v>
      </c>
      <c r="D725">
        <v>2</v>
      </c>
      <c r="E725">
        <v>1</v>
      </c>
      <c r="F725">
        <v>24</v>
      </c>
      <c r="G725" t="s">
        <v>1023</v>
      </c>
      <c r="H725" t="s">
        <v>1022</v>
      </c>
      <c r="I725" t="s">
        <v>1023</v>
      </c>
      <c r="J725" t="s">
        <v>1022</v>
      </c>
      <c r="K725" t="s">
        <v>1026</v>
      </c>
      <c r="L725">
        <v>1</v>
      </c>
      <c r="M725">
        <v>7</v>
      </c>
      <c r="N725">
        <v>5050000</v>
      </c>
      <c r="O725">
        <f>PropertyData[[#This Row],[Price]]/PropertyData[[#This Row],[Area_sqft]]</f>
        <v>4476.9503546099295</v>
      </c>
      <c r="P725" t="str">
        <f t="shared" si="11"/>
        <v>Mid-Range</v>
      </c>
    </row>
    <row r="726" spans="1:16">
      <c r="A726" t="s">
        <v>738</v>
      </c>
      <c r="B726" t="s">
        <v>1018</v>
      </c>
      <c r="C726">
        <v>1751</v>
      </c>
      <c r="D726">
        <v>4</v>
      </c>
      <c r="E726">
        <v>4</v>
      </c>
      <c r="F726">
        <v>10</v>
      </c>
      <c r="G726" t="s">
        <v>1022</v>
      </c>
      <c r="H726" t="s">
        <v>1023</v>
      </c>
      <c r="I726" t="s">
        <v>1023</v>
      </c>
      <c r="J726" t="s">
        <v>1022</v>
      </c>
      <c r="K726" t="s">
        <v>1026</v>
      </c>
      <c r="L726">
        <v>13</v>
      </c>
      <c r="M726">
        <v>21</v>
      </c>
      <c r="N726">
        <v>12350000</v>
      </c>
      <c r="O726">
        <f>PropertyData[[#This Row],[Price]]/PropertyData[[#This Row],[Area_sqft]]</f>
        <v>7053.1125071387778</v>
      </c>
      <c r="P726" t="str">
        <f t="shared" si="11"/>
        <v>Premium</v>
      </c>
    </row>
    <row r="727" spans="1:16">
      <c r="A727" t="s">
        <v>739</v>
      </c>
      <c r="B727" t="s">
        <v>1020</v>
      </c>
      <c r="C727">
        <v>886</v>
      </c>
      <c r="D727">
        <v>2</v>
      </c>
      <c r="E727">
        <v>1</v>
      </c>
      <c r="F727">
        <v>10</v>
      </c>
      <c r="G727" t="s">
        <v>1023</v>
      </c>
      <c r="H727" t="s">
        <v>1023</v>
      </c>
      <c r="I727" t="s">
        <v>1023</v>
      </c>
      <c r="J727" t="s">
        <v>1022</v>
      </c>
      <c r="K727" t="s">
        <v>1025</v>
      </c>
      <c r="L727">
        <v>4</v>
      </c>
      <c r="M727">
        <v>23</v>
      </c>
      <c r="N727">
        <v>5700000</v>
      </c>
      <c r="O727">
        <f>PropertyData[[#This Row],[Price]]/PropertyData[[#This Row],[Area_sqft]]</f>
        <v>6433.4085778781036</v>
      </c>
      <c r="P727" t="str">
        <f t="shared" si="11"/>
        <v>Mid-Range</v>
      </c>
    </row>
    <row r="728" spans="1:16">
      <c r="A728" t="s">
        <v>740</v>
      </c>
      <c r="B728" t="s">
        <v>1014</v>
      </c>
      <c r="C728">
        <v>1396</v>
      </c>
      <c r="D728">
        <v>4</v>
      </c>
      <c r="E728">
        <v>4</v>
      </c>
      <c r="F728">
        <v>26</v>
      </c>
      <c r="G728" t="s">
        <v>1023</v>
      </c>
      <c r="H728" t="s">
        <v>1023</v>
      </c>
      <c r="I728" t="s">
        <v>1023</v>
      </c>
      <c r="J728" t="s">
        <v>1022</v>
      </c>
      <c r="K728" t="s">
        <v>1025</v>
      </c>
      <c r="L728">
        <v>15</v>
      </c>
      <c r="M728">
        <v>21</v>
      </c>
      <c r="N728">
        <v>6950000</v>
      </c>
      <c r="O728">
        <f>PropertyData[[#This Row],[Price]]/PropertyData[[#This Row],[Area_sqft]]</f>
        <v>4978.5100286532952</v>
      </c>
      <c r="P728" t="str">
        <f t="shared" si="11"/>
        <v>Mid-Range</v>
      </c>
    </row>
    <row r="729" spans="1:16">
      <c r="A729" t="s">
        <v>741</v>
      </c>
      <c r="B729" t="s">
        <v>1014</v>
      </c>
      <c r="C729">
        <v>798</v>
      </c>
      <c r="D729">
        <v>1</v>
      </c>
      <c r="E729">
        <v>1</v>
      </c>
      <c r="F729">
        <v>1</v>
      </c>
      <c r="G729" t="s">
        <v>1022</v>
      </c>
      <c r="H729" t="s">
        <v>1022</v>
      </c>
      <c r="I729" t="s">
        <v>1023</v>
      </c>
      <c r="J729" t="s">
        <v>1022</v>
      </c>
      <c r="K729" t="s">
        <v>1025</v>
      </c>
      <c r="L729">
        <v>17</v>
      </c>
      <c r="M729">
        <v>20</v>
      </c>
      <c r="N729">
        <v>5550000</v>
      </c>
      <c r="O729">
        <f>PropertyData[[#This Row],[Price]]/PropertyData[[#This Row],[Area_sqft]]</f>
        <v>6954.8872180451126</v>
      </c>
      <c r="P729" t="str">
        <f t="shared" si="11"/>
        <v>Mid-Range</v>
      </c>
    </row>
    <row r="730" spans="1:16">
      <c r="A730" t="s">
        <v>742</v>
      </c>
      <c r="B730" t="s">
        <v>1021</v>
      </c>
      <c r="C730">
        <v>1088</v>
      </c>
      <c r="D730">
        <v>1</v>
      </c>
      <c r="E730">
        <v>2</v>
      </c>
      <c r="F730">
        <v>18</v>
      </c>
      <c r="G730" t="s">
        <v>1022</v>
      </c>
      <c r="H730" t="s">
        <v>1022</v>
      </c>
      <c r="I730" t="s">
        <v>1022</v>
      </c>
      <c r="J730" t="s">
        <v>1022</v>
      </c>
      <c r="K730" t="s">
        <v>1025</v>
      </c>
      <c r="L730">
        <v>12</v>
      </c>
      <c r="M730">
        <v>21</v>
      </c>
      <c r="N730">
        <v>6200000</v>
      </c>
      <c r="O730">
        <f>PropertyData[[#This Row],[Price]]/PropertyData[[#This Row],[Area_sqft]]</f>
        <v>5698.5294117647063</v>
      </c>
      <c r="P730" t="str">
        <f t="shared" si="11"/>
        <v>Mid-Range</v>
      </c>
    </row>
    <row r="731" spans="1:16">
      <c r="A731" t="s">
        <v>743</v>
      </c>
      <c r="B731" t="s">
        <v>1018</v>
      </c>
      <c r="C731">
        <v>1239</v>
      </c>
      <c r="D731">
        <v>1</v>
      </c>
      <c r="E731">
        <v>1</v>
      </c>
      <c r="F731">
        <v>2</v>
      </c>
      <c r="G731" t="s">
        <v>1022</v>
      </c>
      <c r="H731" t="s">
        <v>1023</v>
      </c>
      <c r="I731" t="s">
        <v>1023</v>
      </c>
      <c r="J731" t="s">
        <v>1022</v>
      </c>
      <c r="K731" t="s">
        <v>1024</v>
      </c>
      <c r="L731">
        <v>9</v>
      </c>
      <c r="M731">
        <v>18</v>
      </c>
      <c r="N731">
        <v>7650000</v>
      </c>
      <c r="O731">
        <f>PropertyData[[#This Row],[Price]]/PropertyData[[#This Row],[Area_sqft]]</f>
        <v>6174.3341404358353</v>
      </c>
      <c r="P731" t="str">
        <f t="shared" si="11"/>
        <v>Mid-Range</v>
      </c>
    </row>
    <row r="732" spans="1:16">
      <c r="A732" t="s">
        <v>744</v>
      </c>
      <c r="B732" t="s">
        <v>1015</v>
      </c>
      <c r="C732">
        <v>1354</v>
      </c>
      <c r="D732">
        <v>2</v>
      </c>
      <c r="E732">
        <v>2</v>
      </c>
      <c r="F732">
        <v>14</v>
      </c>
      <c r="G732" t="s">
        <v>1022</v>
      </c>
      <c r="H732" t="s">
        <v>1022</v>
      </c>
      <c r="I732" t="s">
        <v>1023</v>
      </c>
      <c r="J732" t="s">
        <v>1022</v>
      </c>
      <c r="K732" t="s">
        <v>1025</v>
      </c>
      <c r="L732">
        <v>2</v>
      </c>
      <c r="M732">
        <v>17</v>
      </c>
      <c r="N732">
        <v>4700000</v>
      </c>
      <c r="O732">
        <f>PropertyData[[#This Row],[Price]]/PropertyData[[#This Row],[Area_sqft]]</f>
        <v>3471.1964549483014</v>
      </c>
      <c r="P732" t="str">
        <f t="shared" si="11"/>
        <v>Budget</v>
      </c>
    </row>
    <row r="733" spans="1:16">
      <c r="A733" t="s">
        <v>745</v>
      </c>
      <c r="B733" t="s">
        <v>1017</v>
      </c>
      <c r="C733">
        <v>1958</v>
      </c>
      <c r="D733">
        <v>4</v>
      </c>
      <c r="E733">
        <v>3</v>
      </c>
      <c r="F733">
        <v>11</v>
      </c>
      <c r="G733" t="s">
        <v>1022</v>
      </c>
      <c r="H733" t="s">
        <v>1023</v>
      </c>
      <c r="I733" t="s">
        <v>1023</v>
      </c>
      <c r="J733" t="s">
        <v>1022</v>
      </c>
      <c r="K733" t="s">
        <v>1024</v>
      </c>
      <c r="L733">
        <v>20</v>
      </c>
      <c r="M733">
        <v>21</v>
      </c>
      <c r="N733">
        <v>8450000</v>
      </c>
      <c r="O733">
        <f>PropertyData[[#This Row],[Price]]/PropertyData[[#This Row],[Area_sqft]]</f>
        <v>4315.6281920326865</v>
      </c>
      <c r="P733" t="str">
        <f t="shared" si="11"/>
        <v>Mid-Range</v>
      </c>
    </row>
    <row r="734" spans="1:16">
      <c r="A734" t="s">
        <v>746</v>
      </c>
      <c r="B734" t="s">
        <v>1016</v>
      </c>
      <c r="C734">
        <v>995</v>
      </c>
      <c r="D734">
        <v>2</v>
      </c>
      <c r="E734">
        <v>2</v>
      </c>
      <c r="F734">
        <v>7</v>
      </c>
      <c r="G734" t="s">
        <v>1022</v>
      </c>
      <c r="H734" t="s">
        <v>1022</v>
      </c>
      <c r="I734" t="s">
        <v>1023</v>
      </c>
      <c r="J734" t="s">
        <v>1022</v>
      </c>
      <c r="K734" t="s">
        <v>1025</v>
      </c>
      <c r="L734">
        <v>13</v>
      </c>
      <c r="M734">
        <v>17</v>
      </c>
      <c r="N734">
        <v>4250000</v>
      </c>
      <c r="O734">
        <f>PropertyData[[#This Row],[Price]]/PropertyData[[#This Row],[Area_sqft]]</f>
        <v>4271.3567839195975</v>
      </c>
      <c r="P734" t="str">
        <f t="shared" si="11"/>
        <v>Budget</v>
      </c>
    </row>
    <row r="735" spans="1:16">
      <c r="A735" t="s">
        <v>747</v>
      </c>
      <c r="B735" t="s">
        <v>1014</v>
      </c>
      <c r="C735">
        <v>1295</v>
      </c>
      <c r="D735">
        <v>2</v>
      </c>
      <c r="E735">
        <v>2</v>
      </c>
      <c r="F735">
        <v>4</v>
      </c>
      <c r="G735" t="s">
        <v>1022</v>
      </c>
      <c r="H735" t="s">
        <v>1022</v>
      </c>
      <c r="I735" t="s">
        <v>1023</v>
      </c>
      <c r="J735" t="s">
        <v>1022</v>
      </c>
      <c r="K735" t="s">
        <v>1025</v>
      </c>
      <c r="L735">
        <v>17</v>
      </c>
      <c r="M735">
        <v>22</v>
      </c>
      <c r="N735">
        <v>10150000</v>
      </c>
      <c r="O735">
        <f>PropertyData[[#This Row],[Price]]/PropertyData[[#This Row],[Area_sqft]]</f>
        <v>7837.8378378378375</v>
      </c>
      <c r="P735" t="str">
        <f t="shared" si="11"/>
        <v>Premium</v>
      </c>
    </row>
    <row r="736" spans="1:16">
      <c r="A736" t="s">
        <v>748</v>
      </c>
      <c r="B736" t="s">
        <v>1016</v>
      </c>
      <c r="C736">
        <v>2008</v>
      </c>
      <c r="D736">
        <v>4</v>
      </c>
      <c r="E736">
        <v>4</v>
      </c>
      <c r="F736">
        <v>21</v>
      </c>
      <c r="G736" t="s">
        <v>1022</v>
      </c>
      <c r="H736" t="s">
        <v>1022</v>
      </c>
      <c r="I736" t="s">
        <v>1023</v>
      </c>
      <c r="J736" t="s">
        <v>1022</v>
      </c>
      <c r="K736" t="s">
        <v>1026</v>
      </c>
      <c r="L736">
        <v>20</v>
      </c>
      <c r="M736">
        <v>21</v>
      </c>
      <c r="N736">
        <v>11100000</v>
      </c>
      <c r="O736">
        <f>PropertyData[[#This Row],[Price]]/PropertyData[[#This Row],[Area_sqft]]</f>
        <v>5527.8884462151391</v>
      </c>
      <c r="P736" t="str">
        <f t="shared" si="11"/>
        <v>Premium</v>
      </c>
    </row>
    <row r="737" spans="1:16">
      <c r="A737" t="s">
        <v>749</v>
      </c>
      <c r="B737" t="s">
        <v>1021</v>
      </c>
      <c r="C737">
        <v>1398</v>
      </c>
      <c r="D737">
        <v>3</v>
      </c>
      <c r="E737">
        <v>4</v>
      </c>
      <c r="F737">
        <v>14</v>
      </c>
      <c r="G737" t="s">
        <v>1022</v>
      </c>
      <c r="H737" t="s">
        <v>1022</v>
      </c>
      <c r="I737" t="s">
        <v>1023</v>
      </c>
      <c r="J737" t="s">
        <v>1022</v>
      </c>
      <c r="K737" t="s">
        <v>1024</v>
      </c>
      <c r="L737">
        <v>6</v>
      </c>
      <c r="M737">
        <v>21</v>
      </c>
      <c r="N737">
        <v>8050000</v>
      </c>
      <c r="O737">
        <f>PropertyData[[#This Row],[Price]]/PropertyData[[#This Row],[Area_sqft]]</f>
        <v>5758.2260371959946</v>
      </c>
      <c r="P737" t="str">
        <f t="shared" si="11"/>
        <v>Mid-Range</v>
      </c>
    </row>
    <row r="738" spans="1:16">
      <c r="A738" t="s">
        <v>750</v>
      </c>
      <c r="B738" t="s">
        <v>1019</v>
      </c>
      <c r="C738">
        <v>1247</v>
      </c>
      <c r="D738">
        <v>2</v>
      </c>
      <c r="E738">
        <v>2</v>
      </c>
      <c r="F738">
        <v>19</v>
      </c>
      <c r="G738" t="s">
        <v>1022</v>
      </c>
      <c r="H738" t="s">
        <v>1023</v>
      </c>
      <c r="I738" t="s">
        <v>1023</v>
      </c>
      <c r="J738" t="s">
        <v>1022</v>
      </c>
      <c r="K738" t="s">
        <v>1025</v>
      </c>
      <c r="L738">
        <v>10</v>
      </c>
      <c r="M738">
        <v>12</v>
      </c>
      <c r="N738">
        <v>8500000</v>
      </c>
      <c r="O738">
        <f>PropertyData[[#This Row],[Price]]/PropertyData[[#This Row],[Area_sqft]]</f>
        <v>6816.3592622293509</v>
      </c>
      <c r="P738" t="str">
        <f t="shared" si="11"/>
        <v>Mid-Range</v>
      </c>
    </row>
    <row r="739" spans="1:16">
      <c r="A739" t="s">
        <v>751</v>
      </c>
      <c r="B739" t="s">
        <v>1014</v>
      </c>
      <c r="C739">
        <v>1351</v>
      </c>
      <c r="D739">
        <v>3</v>
      </c>
      <c r="E739">
        <v>4</v>
      </c>
      <c r="F739">
        <v>25</v>
      </c>
      <c r="G739" t="s">
        <v>1022</v>
      </c>
      <c r="H739" t="s">
        <v>1022</v>
      </c>
      <c r="I739" t="s">
        <v>1023</v>
      </c>
      <c r="J739" t="s">
        <v>1022</v>
      </c>
      <c r="K739" t="s">
        <v>1025</v>
      </c>
      <c r="L739">
        <v>15</v>
      </c>
      <c r="M739">
        <v>16</v>
      </c>
      <c r="N739">
        <v>8700000</v>
      </c>
      <c r="O739">
        <f>PropertyData[[#This Row],[Price]]/PropertyData[[#This Row],[Area_sqft]]</f>
        <v>6439.6743153219841</v>
      </c>
      <c r="P739" t="str">
        <f t="shared" si="11"/>
        <v>Mid-Range</v>
      </c>
    </row>
    <row r="740" spans="1:16">
      <c r="A740" t="s">
        <v>752</v>
      </c>
      <c r="B740" t="s">
        <v>1020</v>
      </c>
      <c r="C740">
        <v>1325</v>
      </c>
      <c r="D740">
        <v>3</v>
      </c>
      <c r="E740">
        <v>3</v>
      </c>
      <c r="F740">
        <v>17</v>
      </c>
      <c r="G740" t="s">
        <v>1022</v>
      </c>
      <c r="H740" t="s">
        <v>1023</v>
      </c>
      <c r="I740" t="s">
        <v>1023</v>
      </c>
      <c r="J740" t="s">
        <v>1022</v>
      </c>
      <c r="K740" t="s">
        <v>1025</v>
      </c>
      <c r="L740">
        <v>9</v>
      </c>
      <c r="M740">
        <v>16</v>
      </c>
      <c r="N740">
        <v>6850000</v>
      </c>
      <c r="O740">
        <f>PropertyData[[#This Row],[Price]]/PropertyData[[#This Row],[Area_sqft]]</f>
        <v>5169.8113207547167</v>
      </c>
      <c r="P740" t="str">
        <f t="shared" si="11"/>
        <v>Mid-Range</v>
      </c>
    </row>
    <row r="741" spans="1:16">
      <c r="A741" t="s">
        <v>753</v>
      </c>
      <c r="B741" t="s">
        <v>1019</v>
      </c>
      <c r="C741">
        <v>1068</v>
      </c>
      <c r="D741">
        <v>2</v>
      </c>
      <c r="E741">
        <v>2</v>
      </c>
      <c r="F741">
        <v>0</v>
      </c>
      <c r="G741" t="s">
        <v>1022</v>
      </c>
      <c r="H741" t="s">
        <v>1023</v>
      </c>
      <c r="I741" t="s">
        <v>1023</v>
      </c>
      <c r="J741" t="s">
        <v>1022</v>
      </c>
      <c r="K741" t="s">
        <v>1025</v>
      </c>
      <c r="L741">
        <v>3</v>
      </c>
      <c r="M741">
        <v>9</v>
      </c>
      <c r="N741">
        <v>8700000</v>
      </c>
      <c r="O741">
        <f>PropertyData[[#This Row],[Price]]/PropertyData[[#This Row],[Area_sqft]]</f>
        <v>8146.0674157303374</v>
      </c>
      <c r="P741" t="str">
        <f t="shared" si="11"/>
        <v>Mid-Range</v>
      </c>
    </row>
    <row r="742" spans="1:16">
      <c r="A742" t="s">
        <v>754</v>
      </c>
      <c r="B742" t="s">
        <v>1017</v>
      </c>
      <c r="C742">
        <v>723</v>
      </c>
      <c r="D742">
        <v>2</v>
      </c>
      <c r="E742">
        <v>2</v>
      </c>
      <c r="F742">
        <v>28</v>
      </c>
      <c r="G742" t="s">
        <v>1022</v>
      </c>
      <c r="H742" t="s">
        <v>1022</v>
      </c>
      <c r="I742" t="s">
        <v>1023</v>
      </c>
      <c r="J742" t="s">
        <v>1022</v>
      </c>
      <c r="K742" t="s">
        <v>1024</v>
      </c>
      <c r="L742">
        <v>6</v>
      </c>
      <c r="M742">
        <v>23</v>
      </c>
      <c r="N742">
        <v>2350000</v>
      </c>
      <c r="O742">
        <f>PropertyData[[#This Row],[Price]]/PropertyData[[#This Row],[Area_sqft]]</f>
        <v>3250.3457814661133</v>
      </c>
      <c r="P742" t="str">
        <f t="shared" si="11"/>
        <v>Budget</v>
      </c>
    </row>
    <row r="743" spans="1:16">
      <c r="A743" t="s">
        <v>755</v>
      </c>
      <c r="B743" t="s">
        <v>1014</v>
      </c>
      <c r="C743">
        <v>1188</v>
      </c>
      <c r="D743">
        <v>2</v>
      </c>
      <c r="E743">
        <v>3</v>
      </c>
      <c r="F743">
        <v>16</v>
      </c>
      <c r="G743" t="s">
        <v>1022</v>
      </c>
      <c r="H743" t="s">
        <v>1022</v>
      </c>
      <c r="I743" t="s">
        <v>1023</v>
      </c>
      <c r="J743" t="s">
        <v>1022</v>
      </c>
      <c r="K743" t="s">
        <v>1024</v>
      </c>
      <c r="L743">
        <v>2</v>
      </c>
      <c r="M743">
        <v>5</v>
      </c>
      <c r="N743">
        <v>9050000</v>
      </c>
      <c r="O743">
        <f>PropertyData[[#This Row],[Price]]/PropertyData[[#This Row],[Area_sqft]]</f>
        <v>7617.8451178451178</v>
      </c>
      <c r="P743" t="str">
        <f t="shared" si="11"/>
        <v>Mid-Range</v>
      </c>
    </row>
    <row r="744" spans="1:16">
      <c r="A744" t="s">
        <v>756</v>
      </c>
      <c r="B744" t="s">
        <v>1019</v>
      </c>
      <c r="C744">
        <v>1257</v>
      </c>
      <c r="D744">
        <v>3</v>
      </c>
      <c r="E744">
        <v>2</v>
      </c>
      <c r="F744">
        <v>16</v>
      </c>
      <c r="G744" t="s">
        <v>1022</v>
      </c>
      <c r="H744" t="s">
        <v>1022</v>
      </c>
      <c r="I744" t="s">
        <v>1023</v>
      </c>
      <c r="J744" t="s">
        <v>1022</v>
      </c>
      <c r="K744" t="s">
        <v>1025</v>
      </c>
      <c r="L744">
        <v>14</v>
      </c>
      <c r="M744">
        <v>21</v>
      </c>
      <c r="N744">
        <v>9650000</v>
      </c>
      <c r="O744">
        <f>PropertyData[[#This Row],[Price]]/PropertyData[[#This Row],[Area_sqft]]</f>
        <v>7677.0087509944315</v>
      </c>
      <c r="P744" t="str">
        <f t="shared" si="11"/>
        <v>Mid-Range</v>
      </c>
    </row>
    <row r="745" spans="1:16">
      <c r="A745" t="s">
        <v>757</v>
      </c>
      <c r="B745" t="s">
        <v>1014</v>
      </c>
      <c r="C745">
        <v>1067</v>
      </c>
      <c r="D745">
        <v>3</v>
      </c>
      <c r="E745">
        <v>2</v>
      </c>
      <c r="F745">
        <v>25</v>
      </c>
      <c r="G745" t="s">
        <v>1023</v>
      </c>
      <c r="H745" t="s">
        <v>1023</v>
      </c>
      <c r="I745" t="s">
        <v>1022</v>
      </c>
      <c r="J745" t="s">
        <v>1022</v>
      </c>
      <c r="K745" t="s">
        <v>1025</v>
      </c>
      <c r="L745">
        <v>8</v>
      </c>
      <c r="M745">
        <v>10</v>
      </c>
      <c r="N745">
        <v>6350000</v>
      </c>
      <c r="O745">
        <f>PropertyData[[#This Row],[Price]]/PropertyData[[#This Row],[Area_sqft]]</f>
        <v>5951.2652296157448</v>
      </c>
      <c r="P745" t="str">
        <f t="shared" si="11"/>
        <v>Mid-Range</v>
      </c>
    </row>
    <row r="746" spans="1:16">
      <c r="A746" t="s">
        <v>758</v>
      </c>
      <c r="B746" t="s">
        <v>1016</v>
      </c>
      <c r="C746">
        <v>881</v>
      </c>
      <c r="D746">
        <v>2</v>
      </c>
      <c r="E746">
        <v>2</v>
      </c>
      <c r="F746">
        <v>17</v>
      </c>
      <c r="G746" t="s">
        <v>1022</v>
      </c>
      <c r="H746" t="s">
        <v>1023</v>
      </c>
      <c r="I746" t="s">
        <v>1022</v>
      </c>
      <c r="J746" t="s">
        <v>1022</v>
      </c>
      <c r="K746" t="s">
        <v>1024</v>
      </c>
      <c r="L746">
        <v>10</v>
      </c>
      <c r="M746">
        <v>24</v>
      </c>
      <c r="N746">
        <v>4850000</v>
      </c>
      <c r="O746">
        <f>PropertyData[[#This Row],[Price]]/PropertyData[[#This Row],[Area_sqft]]</f>
        <v>5505.107832009081</v>
      </c>
      <c r="P746" t="str">
        <f t="shared" si="11"/>
        <v>Budget</v>
      </c>
    </row>
    <row r="747" spans="1:16">
      <c r="A747" t="s">
        <v>759</v>
      </c>
      <c r="B747" t="s">
        <v>1014</v>
      </c>
      <c r="C747">
        <v>1660</v>
      </c>
      <c r="D747">
        <v>4</v>
      </c>
      <c r="E747">
        <v>5</v>
      </c>
      <c r="F747">
        <v>29</v>
      </c>
      <c r="G747" t="s">
        <v>1022</v>
      </c>
      <c r="H747" t="s">
        <v>1022</v>
      </c>
      <c r="I747" t="s">
        <v>1022</v>
      </c>
      <c r="J747" t="s">
        <v>1022</v>
      </c>
      <c r="K747" t="s">
        <v>1025</v>
      </c>
      <c r="L747">
        <v>15</v>
      </c>
      <c r="M747">
        <v>18</v>
      </c>
      <c r="N747">
        <v>10350000</v>
      </c>
      <c r="O747">
        <f>PropertyData[[#This Row],[Price]]/PropertyData[[#This Row],[Area_sqft]]</f>
        <v>6234.939759036145</v>
      </c>
      <c r="P747" t="str">
        <f t="shared" si="11"/>
        <v>Premium</v>
      </c>
    </row>
    <row r="748" spans="1:16">
      <c r="A748" t="s">
        <v>760</v>
      </c>
      <c r="B748" t="s">
        <v>1018</v>
      </c>
      <c r="C748">
        <v>1049</v>
      </c>
      <c r="D748">
        <v>2</v>
      </c>
      <c r="E748">
        <v>2</v>
      </c>
      <c r="F748">
        <v>6</v>
      </c>
      <c r="G748" t="s">
        <v>1022</v>
      </c>
      <c r="H748" t="s">
        <v>1022</v>
      </c>
      <c r="I748" t="s">
        <v>1022</v>
      </c>
      <c r="J748" t="s">
        <v>1023</v>
      </c>
      <c r="K748" t="s">
        <v>1025</v>
      </c>
      <c r="L748">
        <v>12</v>
      </c>
      <c r="M748">
        <v>20</v>
      </c>
      <c r="N748">
        <v>6200000</v>
      </c>
      <c r="O748">
        <f>PropertyData[[#This Row],[Price]]/PropertyData[[#This Row],[Area_sqft]]</f>
        <v>5910.3908484270733</v>
      </c>
      <c r="P748" t="str">
        <f t="shared" si="11"/>
        <v>Mid-Range</v>
      </c>
    </row>
    <row r="749" spans="1:16">
      <c r="A749" t="s">
        <v>761</v>
      </c>
      <c r="B749" t="s">
        <v>1019</v>
      </c>
      <c r="C749">
        <v>1441</v>
      </c>
      <c r="D749">
        <v>3</v>
      </c>
      <c r="E749">
        <v>3</v>
      </c>
      <c r="F749">
        <v>13</v>
      </c>
      <c r="G749" t="s">
        <v>1022</v>
      </c>
      <c r="H749" t="s">
        <v>1023</v>
      </c>
      <c r="I749" t="s">
        <v>1023</v>
      </c>
      <c r="J749" t="s">
        <v>1023</v>
      </c>
      <c r="K749" t="s">
        <v>1026</v>
      </c>
      <c r="L749">
        <v>2</v>
      </c>
      <c r="M749">
        <v>24</v>
      </c>
      <c r="N749">
        <v>11850000</v>
      </c>
      <c r="O749">
        <f>PropertyData[[#This Row],[Price]]/PropertyData[[#This Row],[Area_sqft]]</f>
        <v>8223.4559333795969</v>
      </c>
      <c r="P749" t="str">
        <f t="shared" si="11"/>
        <v>Premium</v>
      </c>
    </row>
    <row r="750" spans="1:16">
      <c r="A750" t="s">
        <v>762</v>
      </c>
      <c r="B750" t="s">
        <v>1018</v>
      </c>
      <c r="C750">
        <v>1582</v>
      </c>
      <c r="D750">
        <v>3</v>
      </c>
      <c r="E750">
        <v>2</v>
      </c>
      <c r="F750">
        <v>16</v>
      </c>
      <c r="G750" t="s">
        <v>1022</v>
      </c>
      <c r="H750" t="s">
        <v>1022</v>
      </c>
      <c r="I750" t="s">
        <v>1023</v>
      </c>
      <c r="J750" t="s">
        <v>1023</v>
      </c>
      <c r="K750" t="s">
        <v>1025</v>
      </c>
      <c r="L750">
        <v>16</v>
      </c>
      <c r="M750">
        <v>24</v>
      </c>
      <c r="N750">
        <v>7700000</v>
      </c>
      <c r="O750">
        <f>PropertyData[[#This Row],[Price]]/PropertyData[[#This Row],[Area_sqft]]</f>
        <v>4867.2566371681414</v>
      </c>
      <c r="P750" t="str">
        <f t="shared" si="11"/>
        <v>Mid-Range</v>
      </c>
    </row>
    <row r="751" spans="1:16">
      <c r="A751" t="s">
        <v>763</v>
      </c>
      <c r="B751" t="s">
        <v>1015</v>
      </c>
      <c r="C751">
        <v>554</v>
      </c>
      <c r="D751">
        <v>1</v>
      </c>
      <c r="E751">
        <v>1</v>
      </c>
      <c r="F751">
        <v>1</v>
      </c>
      <c r="G751" t="s">
        <v>1022</v>
      </c>
      <c r="H751" t="s">
        <v>1022</v>
      </c>
      <c r="I751" t="s">
        <v>1022</v>
      </c>
      <c r="J751" t="s">
        <v>1022</v>
      </c>
      <c r="K751" t="s">
        <v>1024</v>
      </c>
      <c r="L751">
        <v>8</v>
      </c>
      <c r="M751">
        <v>15</v>
      </c>
      <c r="N751">
        <v>2550000</v>
      </c>
      <c r="O751">
        <f>PropertyData[[#This Row],[Price]]/PropertyData[[#This Row],[Area_sqft]]</f>
        <v>4602.8880866425989</v>
      </c>
      <c r="P751" t="str">
        <f t="shared" si="11"/>
        <v>Budget</v>
      </c>
    </row>
    <row r="752" spans="1:16">
      <c r="A752" t="s">
        <v>764</v>
      </c>
      <c r="B752" t="s">
        <v>1018</v>
      </c>
      <c r="C752">
        <v>1530</v>
      </c>
      <c r="D752">
        <v>3</v>
      </c>
      <c r="E752">
        <v>3</v>
      </c>
      <c r="F752">
        <v>21</v>
      </c>
      <c r="G752" t="s">
        <v>1023</v>
      </c>
      <c r="H752" t="s">
        <v>1022</v>
      </c>
      <c r="I752" t="s">
        <v>1022</v>
      </c>
      <c r="J752" t="s">
        <v>1023</v>
      </c>
      <c r="K752" t="s">
        <v>1025</v>
      </c>
      <c r="L752">
        <v>13</v>
      </c>
      <c r="M752">
        <v>24</v>
      </c>
      <c r="N752">
        <v>7150000</v>
      </c>
      <c r="O752">
        <f>PropertyData[[#This Row],[Price]]/PropertyData[[#This Row],[Area_sqft]]</f>
        <v>4673.2026143790854</v>
      </c>
      <c r="P752" t="str">
        <f t="shared" si="11"/>
        <v>Mid-Range</v>
      </c>
    </row>
    <row r="753" spans="1:16">
      <c r="A753" t="s">
        <v>765</v>
      </c>
      <c r="B753" t="s">
        <v>1019</v>
      </c>
      <c r="C753">
        <v>1142</v>
      </c>
      <c r="D753">
        <v>2</v>
      </c>
      <c r="E753">
        <v>3</v>
      </c>
      <c r="F753">
        <v>5</v>
      </c>
      <c r="G753" t="s">
        <v>1022</v>
      </c>
      <c r="H753" t="s">
        <v>1022</v>
      </c>
      <c r="I753" t="s">
        <v>1023</v>
      </c>
      <c r="J753" t="s">
        <v>1023</v>
      </c>
      <c r="K753" t="s">
        <v>1025</v>
      </c>
      <c r="L753">
        <v>18</v>
      </c>
      <c r="M753">
        <v>19</v>
      </c>
      <c r="N753">
        <v>8900000</v>
      </c>
      <c r="O753">
        <f>PropertyData[[#This Row],[Price]]/PropertyData[[#This Row],[Area_sqft]]</f>
        <v>7793.345008756567</v>
      </c>
      <c r="P753" t="str">
        <f t="shared" si="11"/>
        <v>Mid-Range</v>
      </c>
    </row>
    <row r="754" spans="1:16">
      <c r="A754" t="s">
        <v>766</v>
      </c>
      <c r="B754" t="s">
        <v>1014</v>
      </c>
      <c r="C754">
        <v>1001</v>
      </c>
      <c r="D754">
        <v>2</v>
      </c>
      <c r="E754">
        <v>2</v>
      </c>
      <c r="F754">
        <v>24</v>
      </c>
      <c r="G754" t="s">
        <v>1023</v>
      </c>
      <c r="H754" t="s">
        <v>1023</v>
      </c>
      <c r="I754" t="s">
        <v>1023</v>
      </c>
      <c r="J754" t="s">
        <v>1022</v>
      </c>
      <c r="K754" t="s">
        <v>1024</v>
      </c>
      <c r="L754">
        <v>11</v>
      </c>
      <c r="M754">
        <v>17</v>
      </c>
      <c r="N754">
        <v>6450000</v>
      </c>
      <c r="O754">
        <f>PropertyData[[#This Row],[Price]]/PropertyData[[#This Row],[Area_sqft]]</f>
        <v>6443.5564435564438</v>
      </c>
      <c r="P754" t="str">
        <f t="shared" si="11"/>
        <v>Mid-Range</v>
      </c>
    </row>
    <row r="755" spans="1:16">
      <c r="A755" t="s">
        <v>767</v>
      </c>
      <c r="B755" t="s">
        <v>1020</v>
      </c>
      <c r="C755">
        <v>1639</v>
      </c>
      <c r="D755">
        <v>3</v>
      </c>
      <c r="E755">
        <v>4</v>
      </c>
      <c r="F755">
        <v>3</v>
      </c>
      <c r="G755" t="s">
        <v>1022</v>
      </c>
      <c r="H755" t="s">
        <v>1023</v>
      </c>
      <c r="I755" t="s">
        <v>1023</v>
      </c>
      <c r="J755" t="s">
        <v>1022</v>
      </c>
      <c r="K755" t="s">
        <v>1024</v>
      </c>
      <c r="L755">
        <v>9</v>
      </c>
      <c r="M755">
        <v>17</v>
      </c>
      <c r="N755">
        <v>10300000</v>
      </c>
      <c r="O755">
        <f>PropertyData[[#This Row],[Price]]/PropertyData[[#This Row],[Area_sqft]]</f>
        <v>6284.3197071384993</v>
      </c>
      <c r="P755" t="str">
        <f t="shared" si="11"/>
        <v>Premium</v>
      </c>
    </row>
    <row r="756" spans="1:16">
      <c r="A756" t="s">
        <v>768</v>
      </c>
      <c r="B756" t="s">
        <v>1018</v>
      </c>
      <c r="C756">
        <v>1181</v>
      </c>
      <c r="D756">
        <v>3</v>
      </c>
      <c r="E756">
        <v>3</v>
      </c>
      <c r="F756">
        <v>11</v>
      </c>
      <c r="G756" t="s">
        <v>1022</v>
      </c>
      <c r="H756" t="s">
        <v>1022</v>
      </c>
      <c r="I756" t="s">
        <v>1023</v>
      </c>
      <c r="J756" t="s">
        <v>1022</v>
      </c>
      <c r="K756" t="s">
        <v>1024</v>
      </c>
      <c r="L756">
        <v>4</v>
      </c>
      <c r="M756">
        <v>19</v>
      </c>
      <c r="N756">
        <v>7700000</v>
      </c>
      <c r="O756">
        <f>PropertyData[[#This Row],[Price]]/PropertyData[[#This Row],[Area_sqft]]</f>
        <v>6519.8983911939031</v>
      </c>
      <c r="P756" t="str">
        <f t="shared" si="11"/>
        <v>Mid-Range</v>
      </c>
    </row>
    <row r="757" spans="1:16">
      <c r="A757" t="s">
        <v>769</v>
      </c>
      <c r="B757" t="s">
        <v>1014</v>
      </c>
      <c r="C757">
        <v>1230</v>
      </c>
      <c r="D757">
        <v>2</v>
      </c>
      <c r="E757">
        <v>1</v>
      </c>
      <c r="F757">
        <v>4</v>
      </c>
      <c r="G757" t="s">
        <v>1022</v>
      </c>
      <c r="H757" t="s">
        <v>1022</v>
      </c>
      <c r="I757" t="s">
        <v>1023</v>
      </c>
      <c r="J757" t="s">
        <v>1023</v>
      </c>
      <c r="K757" t="s">
        <v>1025</v>
      </c>
      <c r="L757">
        <v>6</v>
      </c>
      <c r="M757">
        <v>22</v>
      </c>
      <c r="N757">
        <v>7550000</v>
      </c>
      <c r="O757">
        <f>PropertyData[[#This Row],[Price]]/PropertyData[[#This Row],[Area_sqft]]</f>
        <v>6138.2113821138209</v>
      </c>
      <c r="P757" t="str">
        <f t="shared" si="11"/>
        <v>Mid-Range</v>
      </c>
    </row>
    <row r="758" spans="1:16">
      <c r="A758" t="s">
        <v>770</v>
      </c>
      <c r="B758" t="s">
        <v>1018</v>
      </c>
      <c r="C758">
        <v>1406</v>
      </c>
      <c r="D758">
        <v>3</v>
      </c>
      <c r="E758">
        <v>3</v>
      </c>
      <c r="F758">
        <v>23</v>
      </c>
      <c r="G758" t="s">
        <v>1022</v>
      </c>
      <c r="H758" t="s">
        <v>1022</v>
      </c>
      <c r="I758" t="s">
        <v>1022</v>
      </c>
      <c r="J758" t="s">
        <v>1022</v>
      </c>
      <c r="K758" t="s">
        <v>1025</v>
      </c>
      <c r="L758">
        <v>6</v>
      </c>
      <c r="M758">
        <v>11</v>
      </c>
      <c r="N758">
        <v>6800000</v>
      </c>
      <c r="O758">
        <f>PropertyData[[#This Row],[Price]]/PropertyData[[#This Row],[Area_sqft]]</f>
        <v>4836.4153627311525</v>
      </c>
      <c r="P758" t="str">
        <f t="shared" si="11"/>
        <v>Mid-Range</v>
      </c>
    </row>
    <row r="759" spans="1:16">
      <c r="A759" t="s">
        <v>771</v>
      </c>
      <c r="B759" t="s">
        <v>1020</v>
      </c>
      <c r="C759">
        <v>1163</v>
      </c>
      <c r="D759">
        <v>2</v>
      </c>
      <c r="E759">
        <v>2</v>
      </c>
      <c r="F759">
        <v>22</v>
      </c>
      <c r="G759" t="s">
        <v>1022</v>
      </c>
      <c r="H759" t="s">
        <v>1022</v>
      </c>
      <c r="I759" t="s">
        <v>1023</v>
      </c>
      <c r="J759" t="s">
        <v>1022</v>
      </c>
      <c r="K759" t="s">
        <v>1025</v>
      </c>
      <c r="L759">
        <v>6</v>
      </c>
      <c r="M759">
        <v>12</v>
      </c>
      <c r="N759">
        <v>6700000</v>
      </c>
      <c r="O759">
        <f>PropertyData[[#This Row],[Price]]/PropertyData[[#This Row],[Area_sqft]]</f>
        <v>5760.9630266552022</v>
      </c>
      <c r="P759" t="str">
        <f t="shared" si="11"/>
        <v>Mid-Range</v>
      </c>
    </row>
    <row r="760" spans="1:16">
      <c r="A760" t="s">
        <v>772</v>
      </c>
      <c r="B760" t="s">
        <v>1018</v>
      </c>
      <c r="C760">
        <v>1116</v>
      </c>
      <c r="D760">
        <v>2</v>
      </c>
      <c r="E760">
        <v>2</v>
      </c>
      <c r="F760">
        <v>28</v>
      </c>
      <c r="G760" t="s">
        <v>1022</v>
      </c>
      <c r="H760" t="s">
        <v>1023</v>
      </c>
      <c r="I760" t="s">
        <v>1022</v>
      </c>
      <c r="J760" t="s">
        <v>1023</v>
      </c>
      <c r="K760" t="s">
        <v>1025</v>
      </c>
      <c r="L760">
        <v>13</v>
      </c>
      <c r="M760">
        <v>24</v>
      </c>
      <c r="N760">
        <v>4300000</v>
      </c>
      <c r="O760">
        <f>PropertyData[[#This Row],[Price]]/PropertyData[[#This Row],[Area_sqft]]</f>
        <v>3853.0465949820787</v>
      </c>
      <c r="P760" t="str">
        <f t="shared" si="11"/>
        <v>Budget</v>
      </c>
    </row>
    <row r="761" spans="1:16">
      <c r="A761" t="s">
        <v>773</v>
      </c>
      <c r="B761" t="s">
        <v>1019</v>
      </c>
      <c r="C761">
        <v>963</v>
      </c>
      <c r="D761">
        <v>2</v>
      </c>
      <c r="E761">
        <v>3</v>
      </c>
      <c r="F761">
        <v>25</v>
      </c>
      <c r="G761" t="s">
        <v>1022</v>
      </c>
      <c r="H761" t="s">
        <v>1022</v>
      </c>
      <c r="I761" t="s">
        <v>1023</v>
      </c>
      <c r="J761" t="s">
        <v>1023</v>
      </c>
      <c r="K761" t="s">
        <v>1026</v>
      </c>
      <c r="L761">
        <v>16</v>
      </c>
      <c r="M761">
        <v>22</v>
      </c>
      <c r="N761">
        <v>8850000</v>
      </c>
      <c r="O761">
        <f>PropertyData[[#This Row],[Price]]/PropertyData[[#This Row],[Area_sqft]]</f>
        <v>9190.0311526479745</v>
      </c>
      <c r="P761" t="str">
        <f t="shared" si="11"/>
        <v>Mid-Range</v>
      </c>
    </row>
    <row r="762" spans="1:16">
      <c r="A762" t="s">
        <v>774</v>
      </c>
      <c r="B762" t="s">
        <v>1021</v>
      </c>
      <c r="C762">
        <v>1143</v>
      </c>
      <c r="D762">
        <v>2</v>
      </c>
      <c r="E762">
        <v>1</v>
      </c>
      <c r="F762">
        <v>22</v>
      </c>
      <c r="G762" t="s">
        <v>1022</v>
      </c>
      <c r="H762" t="s">
        <v>1022</v>
      </c>
      <c r="I762" t="s">
        <v>1023</v>
      </c>
      <c r="J762" t="s">
        <v>1023</v>
      </c>
      <c r="K762" t="s">
        <v>1025</v>
      </c>
      <c r="L762">
        <v>16</v>
      </c>
      <c r="M762">
        <v>23</v>
      </c>
      <c r="N762">
        <v>6100000</v>
      </c>
      <c r="O762">
        <f>PropertyData[[#This Row],[Price]]/PropertyData[[#This Row],[Area_sqft]]</f>
        <v>5336.8328958880138</v>
      </c>
      <c r="P762" t="str">
        <f t="shared" si="11"/>
        <v>Mid-Range</v>
      </c>
    </row>
    <row r="763" spans="1:16">
      <c r="A763" t="s">
        <v>775</v>
      </c>
      <c r="B763" t="s">
        <v>1014</v>
      </c>
      <c r="C763">
        <v>1105</v>
      </c>
      <c r="D763">
        <v>2</v>
      </c>
      <c r="E763">
        <v>2</v>
      </c>
      <c r="F763">
        <v>4</v>
      </c>
      <c r="G763" t="s">
        <v>1022</v>
      </c>
      <c r="H763" t="s">
        <v>1023</v>
      </c>
      <c r="I763" t="s">
        <v>1023</v>
      </c>
      <c r="J763" t="s">
        <v>1022</v>
      </c>
      <c r="K763" t="s">
        <v>1024</v>
      </c>
      <c r="L763">
        <v>12</v>
      </c>
      <c r="M763">
        <v>18</v>
      </c>
      <c r="N763">
        <v>9200000</v>
      </c>
      <c r="O763">
        <f>PropertyData[[#This Row],[Price]]/PropertyData[[#This Row],[Area_sqft]]</f>
        <v>8325.7918552036208</v>
      </c>
      <c r="P763" t="str">
        <f t="shared" si="11"/>
        <v>Mid-Range</v>
      </c>
    </row>
    <row r="764" spans="1:16">
      <c r="A764" t="s">
        <v>776</v>
      </c>
      <c r="B764" t="s">
        <v>1014</v>
      </c>
      <c r="C764">
        <v>1260</v>
      </c>
      <c r="D764">
        <v>2</v>
      </c>
      <c r="E764">
        <v>3</v>
      </c>
      <c r="F764">
        <v>25</v>
      </c>
      <c r="G764" t="s">
        <v>1022</v>
      </c>
      <c r="H764" t="s">
        <v>1023</v>
      </c>
      <c r="I764" t="s">
        <v>1023</v>
      </c>
      <c r="J764" t="s">
        <v>1023</v>
      </c>
      <c r="K764" t="s">
        <v>1024</v>
      </c>
      <c r="L764">
        <v>19</v>
      </c>
      <c r="M764">
        <v>23</v>
      </c>
      <c r="N764">
        <v>7700000</v>
      </c>
      <c r="O764">
        <f>PropertyData[[#This Row],[Price]]/PropertyData[[#This Row],[Area_sqft]]</f>
        <v>6111.1111111111113</v>
      </c>
      <c r="P764" t="str">
        <f t="shared" si="11"/>
        <v>Mid-Range</v>
      </c>
    </row>
    <row r="765" spans="1:16">
      <c r="A765" t="s">
        <v>777</v>
      </c>
      <c r="B765" t="s">
        <v>1018</v>
      </c>
      <c r="C765">
        <v>822</v>
      </c>
      <c r="D765">
        <v>1</v>
      </c>
      <c r="E765">
        <v>1</v>
      </c>
      <c r="F765">
        <v>24</v>
      </c>
      <c r="G765" t="s">
        <v>1022</v>
      </c>
      <c r="H765" t="s">
        <v>1023</v>
      </c>
      <c r="I765" t="s">
        <v>1023</v>
      </c>
      <c r="J765" t="s">
        <v>1022</v>
      </c>
      <c r="K765" t="s">
        <v>1025</v>
      </c>
      <c r="L765">
        <v>2</v>
      </c>
      <c r="M765">
        <v>7</v>
      </c>
      <c r="N765">
        <v>4150000</v>
      </c>
      <c r="O765">
        <f>PropertyData[[#This Row],[Price]]/PropertyData[[#This Row],[Area_sqft]]</f>
        <v>5048.6618004866177</v>
      </c>
      <c r="P765" t="str">
        <f t="shared" si="11"/>
        <v>Budget</v>
      </c>
    </row>
    <row r="766" spans="1:16">
      <c r="A766" t="s">
        <v>778</v>
      </c>
      <c r="B766" t="s">
        <v>1016</v>
      </c>
      <c r="C766">
        <v>997</v>
      </c>
      <c r="D766">
        <v>2</v>
      </c>
      <c r="E766">
        <v>2</v>
      </c>
      <c r="F766">
        <v>27</v>
      </c>
      <c r="G766" t="s">
        <v>1023</v>
      </c>
      <c r="H766" t="s">
        <v>1022</v>
      </c>
      <c r="I766" t="s">
        <v>1023</v>
      </c>
      <c r="J766" t="s">
        <v>1022</v>
      </c>
      <c r="K766" t="s">
        <v>1025</v>
      </c>
      <c r="L766">
        <v>1</v>
      </c>
      <c r="M766">
        <v>17</v>
      </c>
      <c r="N766">
        <v>3000000</v>
      </c>
      <c r="O766">
        <f>PropertyData[[#This Row],[Price]]/PropertyData[[#This Row],[Area_sqft]]</f>
        <v>3009.0270812437311</v>
      </c>
      <c r="P766" t="str">
        <f t="shared" si="11"/>
        <v>Budget</v>
      </c>
    </row>
    <row r="767" spans="1:16">
      <c r="A767" t="s">
        <v>779</v>
      </c>
      <c r="B767" t="s">
        <v>1018</v>
      </c>
      <c r="C767">
        <v>2042</v>
      </c>
      <c r="D767">
        <v>5</v>
      </c>
      <c r="E767">
        <v>5</v>
      </c>
      <c r="F767">
        <v>29</v>
      </c>
      <c r="G767" t="s">
        <v>1022</v>
      </c>
      <c r="H767" t="s">
        <v>1023</v>
      </c>
      <c r="I767" t="s">
        <v>1023</v>
      </c>
      <c r="J767" t="s">
        <v>1023</v>
      </c>
      <c r="K767" t="s">
        <v>1024</v>
      </c>
      <c r="L767">
        <v>10</v>
      </c>
      <c r="M767">
        <v>20</v>
      </c>
      <c r="N767">
        <v>8150000</v>
      </c>
      <c r="O767">
        <f>PropertyData[[#This Row],[Price]]/PropertyData[[#This Row],[Area_sqft]]</f>
        <v>3991.1851126346719</v>
      </c>
      <c r="P767" t="str">
        <f t="shared" si="11"/>
        <v>Mid-Range</v>
      </c>
    </row>
    <row r="768" spans="1:16">
      <c r="A768" t="s">
        <v>780</v>
      </c>
      <c r="B768" t="s">
        <v>1019</v>
      </c>
      <c r="C768">
        <v>2095</v>
      </c>
      <c r="D768">
        <v>4</v>
      </c>
      <c r="E768">
        <v>3</v>
      </c>
      <c r="F768">
        <v>13</v>
      </c>
      <c r="G768" t="s">
        <v>1022</v>
      </c>
      <c r="H768" t="s">
        <v>1023</v>
      </c>
      <c r="I768" t="s">
        <v>1023</v>
      </c>
      <c r="J768" t="s">
        <v>1022</v>
      </c>
      <c r="K768" t="s">
        <v>1024</v>
      </c>
      <c r="L768">
        <v>18</v>
      </c>
      <c r="M768">
        <v>22</v>
      </c>
      <c r="N768">
        <v>18150000</v>
      </c>
      <c r="O768">
        <f>PropertyData[[#This Row],[Price]]/PropertyData[[#This Row],[Area_sqft]]</f>
        <v>8663.484486873509</v>
      </c>
      <c r="P768" t="str">
        <f t="shared" si="11"/>
        <v>Premium</v>
      </c>
    </row>
    <row r="769" spans="1:16">
      <c r="A769" t="s">
        <v>781</v>
      </c>
      <c r="B769" t="s">
        <v>1021</v>
      </c>
      <c r="C769">
        <v>975</v>
      </c>
      <c r="D769">
        <v>2</v>
      </c>
      <c r="E769">
        <v>2</v>
      </c>
      <c r="F769">
        <v>20</v>
      </c>
      <c r="G769" t="s">
        <v>1022</v>
      </c>
      <c r="H769" t="s">
        <v>1022</v>
      </c>
      <c r="I769" t="s">
        <v>1023</v>
      </c>
      <c r="J769" t="s">
        <v>1022</v>
      </c>
      <c r="K769" t="s">
        <v>1024</v>
      </c>
      <c r="L769">
        <v>2</v>
      </c>
      <c r="M769">
        <v>3</v>
      </c>
      <c r="N769">
        <v>6200000</v>
      </c>
      <c r="O769">
        <f>PropertyData[[#This Row],[Price]]/PropertyData[[#This Row],[Area_sqft]]</f>
        <v>6358.9743589743593</v>
      </c>
      <c r="P769" t="str">
        <f t="shared" si="11"/>
        <v>Mid-Range</v>
      </c>
    </row>
    <row r="770" spans="1:16">
      <c r="A770" t="s">
        <v>782</v>
      </c>
      <c r="B770" t="s">
        <v>1014</v>
      </c>
      <c r="C770">
        <v>1437</v>
      </c>
      <c r="D770">
        <v>3</v>
      </c>
      <c r="E770">
        <v>3</v>
      </c>
      <c r="F770">
        <v>11</v>
      </c>
      <c r="G770" t="s">
        <v>1022</v>
      </c>
      <c r="H770" t="s">
        <v>1023</v>
      </c>
      <c r="I770" t="s">
        <v>1023</v>
      </c>
      <c r="J770" t="s">
        <v>1022</v>
      </c>
      <c r="K770" t="s">
        <v>1025</v>
      </c>
      <c r="L770">
        <v>5</v>
      </c>
      <c r="M770">
        <v>6</v>
      </c>
      <c r="N770">
        <v>10550000</v>
      </c>
      <c r="O770">
        <f>PropertyData[[#This Row],[Price]]/PropertyData[[#This Row],[Area_sqft]]</f>
        <v>7341.684064022269</v>
      </c>
      <c r="P770" t="str">
        <f t="shared" ref="P770:P833" si="12">IF(N770&lt;5000000,"Budget",IF(N770&lt;=10000000,"Mid-Range","Premium"))</f>
        <v>Premium</v>
      </c>
    </row>
    <row r="771" spans="1:16">
      <c r="A771" t="s">
        <v>783</v>
      </c>
      <c r="B771" t="s">
        <v>1020</v>
      </c>
      <c r="C771">
        <v>1703</v>
      </c>
      <c r="D771">
        <v>4</v>
      </c>
      <c r="E771">
        <v>3</v>
      </c>
      <c r="F771">
        <v>0</v>
      </c>
      <c r="G771" t="s">
        <v>1022</v>
      </c>
      <c r="H771" t="s">
        <v>1022</v>
      </c>
      <c r="I771" t="s">
        <v>1023</v>
      </c>
      <c r="J771" t="s">
        <v>1022</v>
      </c>
      <c r="K771" t="s">
        <v>1025</v>
      </c>
      <c r="L771">
        <v>11</v>
      </c>
      <c r="M771">
        <v>11</v>
      </c>
      <c r="N771">
        <v>12550000</v>
      </c>
      <c r="O771">
        <f>PropertyData[[#This Row],[Price]]/PropertyData[[#This Row],[Area_sqft]]</f>
        <v>7369.3482090428652</v>
      </c>
      <c r="P771" t="str">
        <f t="shared" si="12"/>
        <v>Premium</v>
      </c>
    </row>
    <row r="772" spans="1:16">
      <c r="A772" t="s">
        <v>784</v>
      </c>
      <c r="B772" t="s">
        <v>1017</v>
      </c>
      <c r="C772">
        <v>1278</v>
      </c>
      <c r="D772">
        <v>3</v>
      </c>
      <c r="E772">
        <v>3</v>
      </c>
      <c r="F772">
        <v>23</v>
      </c>
      <c r="G772" t="s">
        <v>1022</v>
      </c>
      <c r="H772" t="s">
        <v>1023</v>
      </c>
      <c r="I772" t="s">
        <v>1023</v>
      </c>
      <c r="J772" t="s">
        <v>1022</v>
      </c>
      <c r="K772" t="s">
        <v>1024</v>
      </c>
      <c r="L772">
        <v>13</v>
      </c>
      <c r="M772">
        <v>13</v>
      </c>
      <c r="N772">
        <v>4400000</v>
      </c>
      <c r="O772">
        <f>PropertyData[[#This Row],[Price]]/PropertyData[[#This Row],[Area_sqft]]</f>
        <v>3442.8794992175276</v>
      </c>
      <c r="P772" t="str">
        <f t="shared" si="12"/>
        <v>Budget</v>
      </c>
    </row>
    <row r="773" spans="1:16">
      <c r="A773" t="s">
        <v>785</v>
      </c>
      <c r="B773" t="s">
        <v>1020</v>
      </c>
      <c r="C773">
        <v>1337</v>
      </c>
      <c r="D773">
        <v>3</v>
      </c>
      <c r="E773">
        <v>3</v>
      </c>
      <c r="F773">
        <v>5</v>
      </c>
      <c r="G773" t="s">
        <v>1022</v>
      </c>
      <c r="H773" t="s">
        <v>1023</v>
      </c>
      <c r="I773" t="s">
        <v>1023</v>
      </c>
      <c r="J773" t="s">
        <v>1022</v>
      </c>
      <c r="K773" t="s">
        <v>1024</v>
      </c>
      <c r="L773">
        <v>1</v>
      </c>
      <c r="M773">
        <v>11</v>
      </c>
      <c r="N773">
        <v>10900000</v>
      </c>
      <c r="O773">
        <f>PropertyData[[#This Row],[Price]]/PropertyData[[#This Row],[Area_sqft]]</f>
        <v>8152.5804038893048</v>
      </c>
      <c r="P773" t="str">
        <f t="shared" si="12"/>
        <v>Premium</v>
      </c>
    </row>
    <row r="774" spans="1:16">
      <c r="A774" t="s">
        <v>786</v>
      </c>
      <c r="B774" t="s">
        <v>1014</v>
      </c>
      <c r="C774">
        <v>844</v>
      </c>
      <c r="D774">
        <v>2</v>
      </c>
      <c r="E774">
        <v>2</v>
      </c>
      <c r="F774">
        <v>2</v>
      </c>
      <c r="G774" t="s">
        <v>1022</v>
      </c>
      <c r="H774" t="s">
        <v>1023</v>
      </c>
      <c r="I774" t="s">
        <v>1023</v>
      </c>
      <c r="J774" t="s">
        <v>1023</v>
      </c>
      <c r="K774" t="s">
        <v>1024</v>
      </c>
      <c r="L774">
        <v>9</v>
      </c>
      <c r="M774">
        <v>9</v>
      </c>
      <c r="N774">
        <v>6550000</v>
      </c>
      <c r="O774">
        <f>PropertyData[[#This Row],[Price]]/PropertyData[[#This Row],[Area_sqft]]</f>
        <v>7760.663507109005</v>
      </c>
      <c r="P774" t="str">
        <f t="shared" si="12"/>
        <v>Mid-Range</v>
      </c>
    </row>
    <row r="775" spans="1:16">
      <c r="A775" t="s">
        <v>787</v>
      </c>
      <c r="B775" t="s">
        <v>1017</v>
      </c>
      <c r="C775">
        <v>1428</v>
      </c>
      <c r="D775">
        <v>3</v>
      </c>
      <c r="E775">
        <v>3</v>
      </c>
      <c r="F775">
        <v>18</v>
      </c>
      <c r="G775" t="s">
        <v>1022</v>
      </c>
      <c r="H775" t="s">
        <v>1023</v>
      </c>
      <c r="I775" t="s">
        <v>1023</v>
      </c>
      <c r="J775" t="s">
        <v>1022</v>
      </c>
      <c r="K775" t="s">
        <v>1025</v>
      </c>
      <c r="L775">
        <v>4</v>
      </c>
      <c r="M775">
        <v>4</v>
      </c>
      <c r="N775">
        <v>4000000</v>
      </c>
      <c r="O775">
        <f>PropertyData[[#This Row],[Price]]/PropertyData[[#This Row],[Area_sqft]]</f>
        <v>2801.1204481792715</v>
      </c>
      <c r="P775" t="str">
        <f t="shared" si="12"/>
        <v>Budget</v>
      </c>
    </row>
    <row r="776" spans="1:16">
      <c r="A776" t="s">
        <v>788</v>
      </c>
      <c r="B776" t="s">
        <v>1017</v>
      </c>
      <c r="C776">
        <v>2390</v>
      </c>
      <c r="D776">
        <v>4</v>
      </c>
      <c r="E776">
        <v>4</v>
      </c>
      <c r="F776">
        <v>11</v>
      </c>
      <c r="G776" t="s">
        <v>1022</v>
      </c>
      <c r="H776" t="s">
        <v>1022</v>
      </c>
      <c r="I776" t="s">
        <v>1022</v>
      </c>
      <c r="J776" t="s">
        <v>1022</v>
      </c>
      <c r="K776" t="s">
        <v>1025</v>
      </c>
      <c r="L776">
        <v>16</v>
      </c>
      <c r="M776">
        <v>18</v>
      </c>
      <c r="N776">
        <v>10350000</v>
      </c>
      <c r="O776">
        <f>PropertyData[[#This Row],[Price]]/PropertyData[[#This Row],[Area_sqft]]</f>
        <v>4330.5439330543932</v>
      </c>
      <c r="P776" t="str">
        <f t="shared" si="12"/>
        <v>Premium</v>
      </c>
    </row>
    <row r="777" spans="1:16">
      <c r="A777" t="s">
        <v>789</v>
      </c>
      <c r="B777" t="s">
        <v>1019</v>
      </c>
      <c r="C777">
        <v>1048</v>
      </c>
      <c r="D777">
        <v>2</v>
      </c>
      <c r="E777">
        <v>2</v>
      </c>
      <c r="F777">
        <v>20</v>
      </c>
      <c r="G777" t="s">
        <v>1022</v>
      </c>
      <c r="H777" t="s">
        <v>1022</v>
      </c>
      <c r="I777" t="s">
        <v>1023</v>
      </c>
      <c r="J777" t="s">
        <v>1022</v>
      </c>
      <c r="K777" t="s">
        <v>1024</v>
      </c>
      <c r="L777">
        <v>14</v>
      </c>
      <c r="M777">
        <v>15</v>
      </c>
      <c r="N777">
        <v>7950000</v>
      </c>
      <c r="O777">
        <f>PropertyData[[#This Row],[Price]]/PropertyData[[#This Row],[Area_sqft]]</f>
        <v>7585.8778625954201</v>
      </c>
      <c r="P777" t="str">
        <f t="shared" si="12"/>
        <v>Mid-Range</v>
      </c>
    </row>
    <row r="778" spans="1:16">
      <c r="A778" t="s">
        <v>790</v>
      </c>
      <c r="B778" t="s">
        <v>1014</v>
      </c>
      <c r="C778">
        <v>1577</v>
      </c>
      <c r="D778">
        <v>3</v>
      </c>
      <c r="E778">
        <v>4</v>
      </c>
      <c r="F778">
        <v>27</v>
      </c>
      <c r="G778" t="s">
        <v>1022</v>
      </c>
      <c r="H778" t="s">
        <v>1022</v>
      </c>
      <c r="I778" t="s">
        <v>1023</v>
      </c>
      <c r="J778" t="s">
        <v>1022</v>
      </c>
      <c r="K778" t="s">
        <v>1025</v>
      </c>
      <c r="L778">
        <v>19</v>
      </c>
      <c r="M778">
        <v>20</v>
      </c>
      <c r="N778">
        <v>9600000</v>
      </c>
      <c r="O778">
        <f>PropertyData[[#This Row],[Price]]/PropertyData[[#This Row],[Area_sqft]]</f>
        <v>6087.5079264426122</v>
      </c>
      <c r="P778" t="str">
        <f t="shared" si="12"/>
        <v>Mid-Range</v>
      </c>
    </row>
    <row r="779" spans="1:16">
      <c r="A779" t="s">
        <v>791</v>
      </c>
      <c r="B779" t="s">
        <v>1016</v>
      </c>
      <c r="C779">
        <v>2232</v>
      </c>
      <c r="D779">
        <v>5</v>
      </c>
      <c r="E779">
        <v>5</v>
      </c>
      <c r="F779">
        <v>2</v>
      </c>
      <c r="G779" t="s">
        <v>1022</v>
      </c>
      <c r="H779" t="s">
        <v>1022</v>
      </c>
      <c r="I779" t="s">
        <v>1023</v>
      </c>
      <c r="J779" t="s">
        <v>1022</v>
      </c>
      <c r="K779" t="s">
        <v>1025</v>
      </c>
      <c r="L779">
        <v>16</v>
      </c>
      <c r="M779">
        <v>20</v>
      </c>
      <c r="N779">
        <v>8650000</v>
      </c>
      <c r="O779">
        <f>PropertyData[[#This Row],[Price]]/PropertyData[[#This Row],[Area_sqft]]</f>
        <v>3875.4480286738353</v>
      </c>
      <c r="P779" t="str">
        <f t="shared" si="12"/>
        <v>Mid-Range</v>
      </c>
    </row>
    <row r="780" spans="1:16">
      <c r="A780" t="s">
        <v>792</v>
      </c>
      <c r="B780" t="s">
        <v>1017</v>
      </c>
      <c r="C780">
        <v>1252</v>
      </c>
      <c r="D780">
        <v>2</v>
      </c>
      <c r="E780">
        <v>2</v>
      </c>
      <c r="F780">
        <v>15</v>
      </c>
      <c r="G780" t="s">
        <v>1022</v>
      </c>
      <c r="H780" t="s">
        <v>1023</v>
      </c>
      <c r="I780" t="s">
        <v>1023</v>
      </c>
      <c r="J780" t="s">
        <v>1022</v>
      </c>
      <c r="K780" t="s">
        <v>1025</v>
      </c>
      <c r="L780">
        <v>17</v>
      </c>
      <c r="M780">
        <v>23</v>
      </c>
      <c r="N780">
        <v>4550000</v>
      </c>
      <c r="O780">
        <f>PropertyData[[#This Row],[Price]]/PropertyData[[#This Row],[Area_sqft]]</f>
        <v>3634.1853035143772</v>
      </c>
      <c r="P780" t="str">
        <f t="shared" si="12"/>
        <v>Budget</v>
      </c>
    </row>
    <row r="781" spans="1:16">
      <c r="A781" t="s">
        <v>793</v>
      </c>
      <c r="B781" t="s">
        <v>1016</v>
      </c>
      <c r="C781">
        <v>968</v>
      </c>
      <c r="D781">
        <v>2</v>
      </c>
      <c r="E781">
        <v>3</v>
      </c>
      <c r="F781">
        <v>9</v>
      </c>
      <c r="G781" t="s">
        <v>1023</v>
      </c>
      <c r="H781" t="s">
        <v>1023</v>
      </c>
      <c r="I781" t="s">
        <v>1023</v>
      </c>
      <c r="J781" t="s">
        <v>1022</v>
      </c>
      <c r="K781" t="s">
        <v>1025</v>
      </c>
      <c r="L781">
        <v>4</v>
      </c>
      <c r="M781">
        <v>21</v>
      </c>
      <c r="N781">
        <v>4250000</v>
      </c>
      <c r="O781">
        <f>PropertyData[[#This Row],[Price]]/PropertyData[[#This Row],[Area_sqft]]</f>
        <v>4390.4958677685954</v>
      </c>
      <c r="P781" t="str">
        <f t="shared" si="12"/>
        <v>Budget</v>
      </c>
    </row>
    <row r="782" spans="1:16">
      <c r="A782" t="s">
        <v>794</v>
      </c>
      <c r="B782" t="s">
        <v>1017</v>
      </c>
      <c r="C782">
        <v>1461</v>
      </c>
      <c r="D782">
        <v>3</v>
      </c>
      <c r="E782">
        <v>2</v>
      </c>
      <c r="F782">
        <v>24</v>
      </c>
      <c r="G782" t="s">
        <v>1022</v>
      </c>
      <c r="H782" t="s">
        <v>1022</v>
      </c>
      <c r="I782" t="s">
        <v>1023</v>
      </c>
      <c r="J782" t="s">
        <v>1022</v>
      </c>
      <c r="K782" t="s">
        <v>1026</v>
      </c>
      <c r="L782">
        <v>1</v>
      </c>
      <c r="M782">
        <v>5</v>
      </c>
      <c r="N782">
        <v>6750000</v>
      </c>
      <c r="O782">
        <f>PropertyData[[#This Row],[Price]]/PropertyData[[#This Row],[Area_sqft]]</f>
        <v>4620.1232032854214</v>
      </c>
      <c r="P782" t="str">
        <f t="shared" si="12"/>
        <v>Mid-Range</v>
      </c>
    </row>
    <row r="783" spans="1:16">
      <c r="A783" t="s">
        <v>795</v>
      </c>
      <c r="B783" t="s">
        <v>1020</v>
      </c>
      <c r="C783">
        <v>1848</v>
      </c>
      <c r="D783">
        <v>4</v>
      </c>
      <c r="E783">
        <v>5</v>
      </c>
      <c r="F783">
        <v>1</v>
      </c>
      <c r="G783" t="s">
        <v>1022</v>
      </c>
      <c r="H783" t="s">
        <v>1022</v>
      </c>
      <c r="I783" t="s">
        <v>1023</v>
      </c>
      <c r="J783" t="s">
        <v>1022</v>
      </c>
      <c r="K783" t="s">
        <v>1025</v>
      </c>
      <c r="L783">
        <v>6</v>
      </c>
      <c r="M783">
        <v>16</v>
      </c>
      <c r="N783">
        <v>12500000</v>
      </c>
      <c r="O783">
        <f>PropertyData[[#This Row],[Price]]/PropertyData[[#This Row],[Area_sqft]]</f>
        <v>6764.0692640692641</v>
      </c>
      <c r="P783" t="str">
        <f t="shared" si="12"/>
        <v>Premium</v>
      </c>
    </row>
    <row r="784" spans="1:16">
      <c r="A784" t="s">
        <v>796</v>
      </c>
      <c r="B784" t="s">
        <v>1020</v>
      </c>
      <c r="C784">
        <v>1619</v>
      </c>
      <c r="D784">
        <v>3</v>
      </c>
      <c r="E784">
        <v>4</v>
      </c>
      <c r="F784">
        <v>7</v>
      </c>
      <c r="G784" t="s">
        <v>1022</v>
      </c>
      <c r="H784" t="s">
        <v>1023</v>
      </c>
      <c r="I784" t="s">
        <v>1022</v>
      </c>
      <c r="J784" t="s">
        <v>1023</v>
      </c>
      <c r="K784" t="s">
        <v>1025</v>
      </c>
      <c r="L784">
        <v>2</v>
      </c>
      <c r="M784">
        <v>6</v>
      </c>
      <c r="N784">
        <v>10950000</v>
      </c>
      <c r="O784">
        <f>PropertyData[[#This Row],[Price]]/PropertyData[[#This Row],[Area_sqft]]</f>
        <v>6763.4342186534896</v>
      </c>
      <c r="P784" t="str">
        <f t="shared" si="12"/>
        <v>Premium</v>
      </c>
    </row>
    <row r="785" spans="1:16">
      <c r="A785" t="s">
        <v>797</v>
      </c>
      <c r="B785" t="s">
        <v>1019</v>
      </c>
      <c r="C785">
        <v>688</v>
      </c>
      <c r="D785">
        <v>1</v>
      </c>
      <c r="E785">
        <v>1</v>
      </c>
      <c r="F785">
        <v>7</v>
      </c>
      <c r="G785" t="s">
        <v>1022</v>
      </c>
      <c r="H785" t="s">
        <v>1022</v>
      </c>
      <c r="I785" t="s">
        <v>1023</v>
      </c>
      <c r="J785" t="s">
        <v>1022</v>
      </c>
      <c r="K785" t="s">
        <v>1025</v>
      </c>
      <c r="L785">
        <v>5</v>
      </c>
      <c r="M785">
        <v>9</v>
      </c>
      <c r="N785">
        <v>5150000</v>
      </c>
      <c r="O785">
        <f>PropertyData[[#This Row],[Price]]/PropertyData[[#This Row],[Area_sqft]]</f>
        <v>7485.4651162790697</v>
      </c>
      <c r="P785" t="str">
        <f t="shared" si="12"/>
        <v>Mid-Range</v>
      </c>
    </row>
    <row r="786" spans="1:16">
      <c r="A786" t="s">
        <v>798</v>
      </c>
      <c r="B786" t="s">
        <v>1017</v>
      </c>
      <c r="C786">
        <v>1962</v>
      </c>
      <c r="D786">
        <v>5</v>
      </c>
      <c r="E786">
        <v>5</v>
      </c>
      <c r="F786">
        <v>23</v>
      </c>
      <c r="G786" t="s">
        <v>1022</v>
      </c>
      <c r="H786" t="s">
        <v>1023</v>
      </c>
      <c r="I786" t="s">
        <v>1023</v>
      </c>
      <c r="J786" t="s">
        <v>1022</v>
      </c>
      <c r="K786" t="s">
        <v>1024</v>
      </c>
      <c r="L786">
        <v>11</v>
      </c>
      <c r="M786">
        <v>21</v>
      </c>
      <c r="N786">
        <v>7700000</v>
      </c>
      <c r="O786">
        <f>PropertyData[[#This Row],[Price]]/PropertyData[[#This Row],[Area_sqft]]</f>
        <v>3924.5667686034658</v>
      </c>
      <c r="P786" t="str">
        <f t="shared" si="12"/>
        <v>Mid-Range</v>
      </c>
    </row>
    <row r="787" spans="1:16">
      <c r="A787" t="s">
        <v>799</v>
      </c>
      <c r="B787" t="s">
        <v>1016</v>
      </c>
      <c r="C787">
        <v>993</v>
      </c>
      <c r="D787">
        <v>2</v>
      </c>
      <c r="E787">
        <v>2</v>
      </c>
      <c r="F787">
        <v>30</v>
      </c>
      <c r="G787" t="s">
        <v>1023</v>
      </c>
      <c r="H787" t="s">
        <v>1022</v>
      </c>
      <c r="I787" t="s">
        <v>1023</v>
      </c>
      <c r="J787" t="s">
        <v>1022</v>
      </c>
      <c r="K787" t="s">
        <v>1024</v>
      </c>
      <c r="L787">
        <v>12</v>
      </c>
      <c r="M787">
        <v>17</v>
      </c>
      <c r="N787">
        <v>3900000</v>
      </c>
      <c r="O787">
        <f>PropertyData[[#This Row],[Price]]/PropertyData[[#This Row],[Area_sqft]]</f>
        <v>3927.4924471299096</v>
      </c>
      <c r="P787" t="str">
        <f t="shared" si="12"/>
        <v>Budget</v>
      </c>
    </row>
    <row r="788" spans="1:16">
      <c r="A788" t="s">
        <v>800</v>
      </c>
      <c r="B788" t="s">
        <v>1018</v>
      </c>
      <c r="C788">
        <v>1373</v>
      </c>
      <c r="D788">
        <v>2</v>
      </c>
      <c r="E788">
        <v>2</v>
      </c>
      <c r="F788">
        <v>23</v>
      </c>
      <c r="G788" t="s">
        <v>1022</v>
      </c>
      <c r="H788" t="s">
        <v>1022</v>
      </c>
      <c r="I788" t="s">
        <v>1023</v>
      </c>
      <c r="J788" t="s">
        <v>1023</v>
      </c>
      <c r="K788" t="s">
        <v>1024</v>
      </c>
      <c r="L788">
        <v>10</v>
      </c>
      <c r="M788">
        <v>21</v>
      </c>
      <c r="N788">
        <v>7200000</v>
      </c>
      <c r="O788">
        <f>PropertyData[[#This Row],[Price]]/PropertyData[[#This Row],[Area_sqft]]</f>
        <v>5243.9912600145663</v>
      </c>
      <c r="P788" t="str">
        <f t="shared" si="12"/>
        <v>Mid-Range</v>
      </c>
    </row>
    <row r="789" spans="1:16">
      <c r="A789" t="s">
        <v>801</v>
      </c>
      <c r="B789" t="s">
        <v>1018</v>
      </c>
      <c r="C789">
        <v>1743</v>
      </c>
      <c r="D789">
        <v>4</v>
      </c>
      <c r="E789">
        <v>5</v>
      </c>
      <c r="F789">
        <v>11</v>
      </c>
      <c r="G789" t="s">
        <v>1022</v>
      </c>
      <c r="H789" t="s">
        <v>1022</v>
      </c>
      <c r="I789" t="s">
        <v>1023</v>
      </c>
      <c r="J789" t="s">
        <v>1022</v>
      </c>
      <c r="K789" t="s">
        <v>1024</v>
      </c>
      <c r="L789">
        <v>17</v>
      </c>
      <c r="M789">
        <v>19</v>
      </c>
      <c r="N789">
        <v>11400000</v>
      </c>
      <c r="O789">
        <f>PropertyData[[#This Row],[Price]]/PropertyData[[#This Row],[Area_sqft]]</f>
        <v>6540.4475043029261</v>
      </c>
      <c r="P789" t="str">
        <f t="shared" si="12"/>
        <v>Premium</v>
      </c>
    </row>
    <row r="790" spans="1:16">
      <c r="A790" t="s">
        <v>802</v>
      </c>
      <c r="B790" t="s">
        <v>1021</v>
      </c>
      <c r="C790">
        <v>1448</v>
      </c>
      <c r="D790">
        <v>3</v>
      </c>
      <c r="E790">
        <v>3</v>
      </c>
      <c r="F790">
        <v>17</v>
      </c>
      <c r="G790" t="s">
        <v>1022</v>
      </c>
      <c r="H790" t="s">
        <v>1023</v>
      </c>
      <c r="I790" t="s">
        <v>1023</v>
      </c>
      <c r="J790" t="s">
        <v>1022</v>
      </c>
      <c r="K790" t="s">
        <v>1026</v>
      </c>
      <c r="L790">
        <v>7</v>
      </c>
      <c r="M790">
        <v>23</v>
      </c>
      <c r="N790">
        <v>11700000</v>
      </c>
      <c r="O790">
        <f>PropertyData[[#This Row],[Price]]/PropertyData[[#This Row],[Area_sqft]]</f>
        <v>8080.1104972375688</v>
      </c>
      <c r="P790" t="str">
        <f t="shared" si="12"/>
        <v>Premium</v>
      </c>
    </row>
    <row r="791" spans="1:16">
      <c r="A791" t="s">
        <v>803</v>
      </c>
      <c r="B791" t="s">
        <v>1016</v>
      </c>
      <c r="C791">
        <v>867</v>
      </c>
      <c r="D791">
        <v>1</v>
      </c>
      <c r="E791">
        <v>1</v>
      </c>
      <c r="F791">
        <v>30</v>
      </c>
      <c r="G791" t="s">
        <v>1022</v>
      </c>
      <c r="H791" t="s">
        <v>1022</v>
      </c>
      <c r="I791" t="s">
        <v>1023</v>
      </c>
      <c r="J791" t="s">
        <v>1022</v>
      </c>
      <c r="K791" t="s">
        <v>1025</v>
      </c>
      <c r="L791">
        <v>4</v>
      </c>
      <c r="M791">
        <v>24</v>
      </c>
      <c r="N791">
        <v>3350000</v>
      </c>
      <c r="O791">
        <f>PropertyData[[#This Row],[Price]]/PropertyData[[#This Row],[Area_sqft]]</f>
        <v>3863.8985005767013</v>
      </c>
      <c r="P791" t="str">
        <f t="shared" si="12"/>
        <v>Budget</v>
      </c>
    </row>
    <row r="792" spans="1:16">
      <c r="A792" t="s">
        <v>804</v>
      </c>
      <c r="B792" t="s">
        <v>1014</v>
      </c>
      <c r="C792">
        <v>1163</v>
      </c>
      <c r="D792">
        <v>2</v>
      </c>
      <c r="E792">
        <v>1</v>
      </c>
      <c r="F792">
        <v>12</v>
      </c>
      <c r="G792" t="s">
        <v>1022</v>
      </c>
      <c r="H792" t="s">
        <v>1022</v>
      </c>
      <c r="I792" t="s">
        <v>1023</v>
      </c>
      <c r="J792" t="s">
        <v>1022</v>
      </c>
      <c r="K792" t="s">
        <v>1025</v>
      </c>
      <c r="L792">
        <v>5</v>
      </c>
      <c r="M792">
        <v>11</v>
      </c>
      <c r="N792">
        <v>7900000</v>
      </c>
      <c r="O792">
        <f>PropertyData[[#This Row],[Price]]/PropertyData[[#This Row],[Area_sqft]]</f>
        <v>6792.7773000859843</v>
      </c>
      <c r="P792" t="str">
        <f t="shared" si="12"/>
        <v>Mid-Range</v>
      </c>
    </row>
    <row r="793" spans="1:16">
      <c r="A793" t="s">
        <v>805</v>
      </c>
      <c r="B793" t="s">
        <v>1019</v>
      </c>
      <c r="C793">
        <v>918</v>
      </c>
      <c r="D793">
        <v>2</v>
      </c>
      <c r="E793">
        <v>1</v>
      </c>
      <c r="F793">
        <v>27</v>
      </c>
      <c r="G793" t="s">
        <v>1022</v>
      </c>
      <c r="H793" t="s">
        <v>1022</v>
      </c>
      <c r="I793" t="s">
        <v>1023</v>
      </c>
      <c r="J793" t="s">
        <v>1023</v>
      </c>
      <c r="K793" t="s">
        <v>1025</v>
      </c>
      <c r="L793">
        <v>11</v>
      </c>
      <c r="M793">
        <v>19</v>
      </c>
      <c r="N793">
        <v>6600000</v>
      </c>
      <c r="O793">
        <f>PropertyData[[#This Row],[Price]]/PropertyData[[#This Row],[Area_sqft]]</f>
        <v>7189.5424836601305</v>
      </c>
      <c r="P793" t="str">
        <f t="shared" si="12"/>
        <v>Mid-Range</v>
      </c>
    </row>
    <row r="794" spans="1:16">
      <c r="A794" t="s">
        <v>806</v>
      </c>
      <c r="B794" t="s">
        <v>1020</v>
      </c>
      <c r="C794">
        <v>1362</v>
      </c>
      <c r="D794">
        <v>2</v>
      </c>
      <c r="E794">
        <v>3</v>
      </c>
      <c r="F794">
        <v>27</v>
      </c>
      <c r="G794" t="s">
        <v>1022</v>
      </c>
      <c r="H794" t="s">
        <v>1023</v>
      </c>
      <c r="I794" t="s">
        <v>1022</v>
      </c>
      <c r="J794" t="s">
        <v>1022</v>
      </c>
      <c r="K794" t="s">
        <v>1025</v>
      </c>
      <c r="L794">
        <v>14</v>
      </c>
      <c r="M794">
        <v>20</v>
      </c>
      <c r="N794">
        <v>8250000</v>
      </c>
      <c r="O794">
        <f>PropertyData[[#This Row],[Price]]/PropertyData[[#This Row],[Area_sqft]]</f>
        <v>6057.2687224669608</v>
      </c>
      <c r="P794" t="str">
        <f t="shared" si="12"/>
        <v>Mid-Range</v>
      </c>
    </row>
    <row r="795" spans="1:16">
      <c r="A795" t="s">
        <v>807</v>
      </c>
      <c r="B795" t="s">
        <v>1015</v>
      </c>
      <c r="C795">
        <v>605</v>
      </c>
      <c r="D795">
        <v>1</v>
      </c>
      <c r="E795">
        <v>1</v>
      </c>
      <c r="F795">
        <v>13</v>
      </c>
      <c r="G795" t="s">
        <v>1022</v>
      </c>
      <c r="H795" t="s">
        <v>1022</v>
      </c>
      <c r="I795" t="s">
        <v>1023</v>
      </c>
      <c r="J795" t="s">
        <v>1022</v>
      </c>
      <c r="K795" t="s">
        <v>1025</v>
      </c>
      <c r="L795">
        <v>10</v>
      </c>
      <c r="M795">
        <v>18</v>
      </c>
      <c r="N795">
        <v>2150000</v>
      </c>
      <c r="O795">
        <f>PropertyData[[#This Row],[Price]]/PropertyData[[#This Row],[Area_sqft]]</f>
        <v>3553.7190082644629</v>
      </c>
      <c r="P795" t="str">
        <f t="shared" si="12"/>
        <v>Budget</v>
      </c>
    </row>
    <row r="796" spans="1:16">
      <c r="A796" t="s">
        <v>808</v>
      </c>
      <c r="B796" t="s">
        <v>1014</v>
      </c>
      <c r="C796">
        <v>1332</v>
      </c>
      <c r="D796">
        <v>3</v>
      </c>
      <c r="E796">
        <v>3</v>
      </c>
      <c r="F796">
        <v>3</v>
      </c>
      <c r="G796" t="s">
        <v>1022</v>
      </c>
      <c r="H796" t="s">
        <v>1023</v>
      </c>
      <c r="I796" t="s">
        <v>1023</v>
      </c>
      <c r="J796" t="s">
        <v>1022</v>
      </c>
      <c r="K796" t="s">
        <v>1024</v>
      </c>
      <c r="L796">
        <v>13</v>
      </c>
      <c r="M796">
        <v>19</v>
      </c>
      <c r="N796">
        <v>12250000</v>
      </c>
      <c r="O796">
        <f>PropertyData[[#This Row],[Price]]/PropertyData[[#This Row],[Area_sqft]]</f>
        <v>9196.6966966966975</v>
      </c>
      <c r="P796" t="str">
        <f t="shared" si="12"/>
        <v>Premium</v>
      </c>
    </row>
    <row r="797" spans="1:16">
      <c r="A797" t="s">
        <v>809</v>
      </c>
      <c r="B797" t="s">
        <v>1018</v>
      </c>
      <c r="C797">
        <v>1285</v>
      </c>
      <c r="D797">
        <v>3</v>
      </c>
      <c r="E797">
        <v>2</v>
      </c>
      <c r="F797">
        <v>12</v>
      </c>
      <c r="G797" t="s">
        <v>1022</v>
      </c>
      <c r="H797" t="s">
        <v>1023</v>
      </c>
      <c r="I797" t="s">
        <v>1022</v>
      </c>
      <c r="J797" t="s">
        <v>1022</v>
      </c>
      <c r="K797" t="s">
        <v>1025</v>
      </c>
      <c r="L797">
        <v>16</v>
      </c>
      <c r="M797">
        <v>18</v>
      </c>
      <c r="N797">
        <v>7150000</v>
      </c>
      <c r="O797">
        <f>PropertyData[[#This Row],[Price]]/PropertyData[[#This Row],[Area_sqft]]</f>
        <v>5564.2023346303504</v>
      </c>
      <c r="P797" t="str">
        <f t="shared" si="12"/>
        <v>Mid-Range</v>
      </c>
    </row>
    <row r="798" spans="1:16">
      <c r="A798" t="s">
        <v>810</v>
      </c>
      <c r="B798" t="s">
        <v>1015</v>
      </c>
      <c r="C798">
        <v>752</v>
      </c>
      <c r="D798">
        <v>1</v>
      </c>
      <c r="E798">
        <v>1</v>
      </c>
      <c r="F798">
        <v>30</v>
      </c>
      <c r="G798" t="s">
        <v>1022</v>
      </c>
      <c r="H798" t="s">
        <v>1023</v>
      </c>
      <c r="I798" t="s">
        <v>1022</v>
      </c>
      <c r="J798" t="s">
        <v>1023</v>
      </c>
      <c r="K798" t="s">
        <v>1024</v>
      </c>
      <c r="L798">
        <v>5</v>
      </c>
      <c r="M798">
        <v>21</v>
      </c>
      <c r="N798">
        <v>2350000</v>
      </c>
      <c r="O798">
        <f>PropertyData[[#This Row],[Price]]/PropertyData[[#This Row],[Area_sqft]]</f>
        <v>3125</v>
      </c>
      <c r="P798" t="str">
        <f t="shared" si="12"/>
        <v>Budget</v>
      </c>
    </row>
    <row r="799" spans="1:16">
      <c r="A799" t="s">
        <v>811</v>
      </c>
      <c r="B799" t="s">
        <v>1014</v>
      </c>
      <c r="C799">
        <v>656</v>
      </c>
      <c r="D799">
        <v>1</v>
      </c>
      <c r="E799">
        <v>2</v>
      </c>
      <c r="F799">
        <v>21</v>
      </c>
      <c r="G799" t="s">
        <v>1022</v>
      </c>
      <c r="H799" t="s">
        <v>1023</v>
      </c>
      <c r="I799" t="s">
        <v>1023</v>
      </c>
      <c r="J799" t="s">
        <v>1022</v>
      </c>
      <c r="K799" t="s">
        <v>1025</v>
      </c>
      <c r="L799">
        <v>7</v>
      </c>
      <c r="M799">
        <v>20</v>
      </c>
      <c r="N799">
        <v>4100000</v>
      </c>
      <c r="O799">
        <f>PropertyData[[#This Row],[Price]]/PropertyData[[#This Row],[Area_sqft]]</f>
        <v>6250</v>
      </c>
      <c r="P799" t="str">
        <f t="shared" si="12"/>
        <v>Budget</v>
      </c>
    </row>
    <row r="800" spans="1:16">
      <c r="A800" t="s">
        <v>812</v>
      </c>
      <c r="B800" t="s">
        <v>1019</v>
      </c>
      <c r="C800">
        <v>1664</v>
      </c>
      <c r="D800">
        <v>3</v>
      </c>
      <c r="E800">
        <v>3</v>
      </c>
      <c r="F800">
        <v>30</v>
      </c>
      <c r="G800" t="s">
        <v>1022</v>
      </c>
      <c r="H800" t="s">
        <v>1023</v>
      </c>
      <c r="I800" t="s">
        <v>1022</v>
      </c>
      <c r="J800" t="s">
        <v>1022</v>
      </c>
      <c r="K800" t="s">
        <v>1025</v>
      </c>
      <c r="L800">
        <v>16</v>
      </c>
      <c r="M800">
        <v>17</v>
      </c>
      <c r="N800">
        <v>13350000</v>
      </c>
      <c r="O800">
        <f>PropertyData[[#This Row],[Price]]/PropertyData[[#This Row],[Area_sqft]]</f>
        <v>8022.8365384615381</v>
      </c>
      <c r="P800" t="str">
        <f t="shared" si="12"/>
        <v>Premium</v>
      </c>
    </row>
    <row r="801" spans="1:16">
      <c r="A801" t="s">
        <v>813</v>
      </c>
      <c r="B801" t="s">
        <v>1020</v>
      </c>
      <c r="C801">
        <v>1159</v>
      </c>
      <c r="D801">
        <v>2</v>
      </c>
      <c r="E801">
        <v>3</v>
      </c>
      <c r="F801">
        <v>26</v>
      </c>
      <c r="G801" t="s">
        <v>1022</v>
      </c>
      <c r="H801" t="s">
        <v>1022</v>
      </c>
      <c r="I801" t="s">
        <v>1023</v>
      </c>
      <c r="J801" t="s">
        <v>1023</v>
      </c>
      <c r="K801" t="s">
        <v>1025</v>
      </c>
      <c r="L801">
        <v>2</v>
      </c>
      <c r="M801">
        <v>6</v>
      </c>
      <c r="N801">
        <v>6550000</v>
      </c>
      <c r="O801">
        <f>PropertyData[[#This Row],[Price]]/PropertyData[[#This Row],[Area_sqft]]</f>
        <v>5651.4236410698877</v>
      </c>
      <c r="P801" t="str">
        <f t="shared" si="12"/>
        <v>Mid-Range</v>
      </c>
    </row>
    <row r="802" spans="1:16">
      <c r="A802" t="s">
        <v>814</v>
      </c>
      <c r="B802" t="s">
        <v>1020</v>
      </c>
      <c r="C802">
        <v>982</v>
      </c>
      <c r="D802">
        <v>1</v>
      </c>
      <c r="E802">
        <v>1</v>
      </c>
      <c r="F802">
        <v>15</v>
      </c>
      <c r="G802" t="s">
        <v>1022</v>
      </c>
      <c r="H802" t="s">
        <v>1023</v>
      </c>
      <c r="I802" t="s">
        <v>1023</v>
      </c>
      <c r="J802" t="s">
        <v>1022</v>
      </c>
      <c r="K802" t="s">
        <v>1026</v>
      </c>
      <c r="L802">
        <v>16</v>
      </c>
      <c r="M802">
        <v>18</v>
      </c>
      <c r="N802">
        <v>7800000</v>
      </c>
      <c r="O802">
        <f>PropertyData[[#This Row],[Price]]/PropertyData[[#This Row],[Area_sqft]]</f>
        <v>7942.9735234215887</v>
      </c>
      <c r="P802" t="str">
        <f t="shared" si="12"/>
        <v>Mid-Range</v>
      </c>
    </row>
    <row r="803" spans="1:16">
      <c r="A803" t="s">
        <v>815</v>
      </c>
      <c r="B803" t="s">
        <v>1017</v>
      </c>
      <c r="C803">
        <v>681</v>
      </c>
      <c r="D803">
        <v>2</v>
      </c>
      <c r="E803">
        <v>2</v>
      </c>
      <c r="F803">
        <v>30</v>
      </c>
      <c r="G803" t="s">
        <v>1022</v>
      </c>
      <c r="H803" t="s">
        <v>1022</v>
      </c>
      <c r="I803" t="s">
        <v>1023</v>
      </c>
      <c r="J803" t="s">
        <v>1023</v>
      </c>
      <c r="K803" t="s">
        <v>1025</v>
      </c>
      <c r="L803">
        <v>19</v>
      </c>
      <c r="M803">
        <v>19</v>
      </c>
      <c r="N803">
        <v>2050000</v>
      </c>
      <c r="O803">
        <f>PropertyData[[#This Row],[Price]]/PropertyData[[#This Row],[Area_sqft]]</f>
        <v>3010.2790014684288</v>
      </c>
      <c r="P803" t="str">
        <f t="shared" si="12"/>
        <v>Budget</v>
      </c>
    </row>
    <row r="804" spans="1:16">
      <c r="A804" t="s">
        <v>816</v>
      </c>
      <c r="B804" t="s">
        <v>1021</v>
      </c>
      <c r="C804">
        <v>1181</v>
      </c>
      <c r="D804">
        <v>2</v>
      </c>
      <c r="E804">
        <v>2</v>
      </c>
      <c r="F804">
        <v>19</v>
      </c>
      <c r="G804" t="s">
        <v>1022</v>
      </c>
      <c r="H804" t="s">
        <v>1023</v>
      </c>
      <c r="I804" t="s">
        <v>1023</v>
      </c>
      <c r="J804" t="s">
        <v>1023</v>
      </c>
      <c r="K804" t="s">
        <v>1025</v>
      </c>
      <c r="L804">
        <v>8</v>
      </c>
      <c r="M804">
        <v>24</v>
      </c>
      <c r="N804">
        <v>5600000</v>
      </c>
      <c r="O804">
        <f>PropertyData[[#This Row],[Price]]/PropertyData[[#This Row],[Area_sqft]]</f>
        <v>4741.7442845046571</v>
      </c>
      <c r="P804" t="str">
        <f t="shared" si="12"/>
        <v>Mid-Range</v>
      </c>
    </row>
    <row r="805" spans="1:16">
      <c r="A805" t="s">
        <v>817</v>
      </c>
      <c r="B805" t="s">
        <v>1014</v>
      </c>
      <c r="C805">
        <v>1557</v>
      </c>
      <c r="D805">
        <v>3</v>
      </c>
      <c r="E805">
        <v>3</v>
      </c>
      <c r="F805">
        <v>25</v>
      </c>
      <c r="G805" t="s">
        <v>1023</v>
      </c>
      <c r="H805" t="s">
        <v>1022</v>
      </c>
      <c r="I805" t="s">
        <v>1023</v>
      </c>
      <c r="J805" t="s">
        <v>1023</v>
      </c>
      <c r="K805" t="s">
        <v>1025</v>
      </c>
      <c r="L805">
        <v>2</v>
      </c>
      <c r="M805">
        <v>2</v>
      </c>
      <c r="N805">
        <v>8000000</v>
      </c>
      <c r="O805">
        <f>PropertyData[[#This Row],[Price]]/PropertyData[[#This Row],[Area_sqft]]</f>
        <v>5138.0860629415547</v>
      </c>
      <c r="P805" t="str">
        <f t="shared" si="12"/>
        <v>Mid-Range</v>
      </c>
    </row>
    <row r="806" spans="1:16">
      <c r="A806" t="s">
        <v>818</v>
      </c>
      <c r="B806" t="s">
        <v>1014</v>
      </c>
      <c r="C806">
        <v>1225</v>
      </c>
      <c r="D806">
        <v>2</v>
      </c>
      <c r="E806">
        <v>2</v>
      </c>
      <c r="F806">
        <v>9</v>
      </c>
      <c r="G806" t="s">
        <v>1022</v>
      </c>
      <c r="H806" t="s">
        <v>1023</v>
      </c>
      <c r="I806" t="s">
        <v>1023</v>
      </c>
      <c r="J806" t="s">
        <v>1022</v>
      </c>
      <c r="K806" t="s">
        <v>1024</v>
      </c>
      <c r="L806">
        <v>11</v>
      </c>
      <c r="M806">
        <v>15</v>
      </c>
      <c r="N806">
        <v>10100000</v>
      </c>
      <c r="O806">
        <f>PropertyData[[#This Row],[Price]]/PropertyData[[#This Row],[Area_sqft]]</f>
        <v>8244.8979591836742</v>
      </c>
      <c r="P806" t="str">
        <f t="shared" si="12"/>
        <v>Premium</v>
      </c>
    </row>
    <row r="807" spans="1:16">
      <c r="A807" t="s">
        <v>819</v>
      </c>
      <c r="B807" t="s">
        <v>1017</v>
      </c>
      <c r="C807">
        <v>1037</v>
      </c>
      <c r="D807">
        <v>3</v>
      </c>
      <c r="E807">
        <v>3</v>
      </c>
      <c r="F807">
        <v>7</v>
      </c>
      <c r="G807" t="s">
        <v>1022</v>
      </c>
      <c r="H807" t="s">
        <v>1022</v>
      </c>
      <c r="I807" t="s">
        <v>1022</v>
      </c>
      <c r="J807" t="s">
        <v>1022</v>
      </c>
      <c r="K807" t="s">
        <v>1026</v>
      </c>
      <c r="L807">
        <v>6</v>
      </c>
      <c r="M807">
        <v>18</v>
      </c>
      <c r="N807">
        <v>5600000</v>
      </c>
      <c r="O807">
        <f>PropertyData[[#This Row],[Price]]/PropertyData[[#This Row],[Area_sqft]]</f>
        <v>5400.1928640308579</v>
      </c>
      <c r="P807" t="str">
        <f t="shared" si="12"/>
        <v>Mid-Range</v>
      </c>
    </row>
    <row r="808" spans="1:16">
      <c r="A808" t="s">
        <v>820</v>
      </c>
      <c r="B808" t="s">
        <v>1014</v>
      </c>
      <c r="C808">
        <v>1248</v>
      </c>
      <c r="D808">
        <v>3</v>
      </c>
      <c r="E808">
        <v>3</v>
      </c>
      <c r="F808">
        <v>8</v>
      </c>
      <c r="G808" t="s">
        <v>1022</v>
      </c>
      <c r="H808" t="s">
        <v>1023</v>
      </c>
      <c r="I808" t="s">
        <v>1022</v>
      </c>
      <c r="J808" t="s">
        <v>1022</v>
      </c>
      <c r="K808" t="s">
        <v>1025</v>
      </c>
      <c r="L808">
        <v>9</v>
      </c>
      <c r="M808">
        <v>13</v>
      </c>
      <c r="N808">
        <v>8100000</v>
      </c>
      <c r="O808">
        <f>PropertyData[[#This Row],[Price]]/PropertyData[[#This Row],[Area_sqft]]</f>
        <v>6490.3846153846152</v>
      </c>
      <c r="P808" t="str">
        <f t="shared" si="12"/>
        <v>Mid-Range</v>
      </c>
    </row>
    <row r="809" spans="1:16">
      <c r="A809" t="s">
        <v>821</v>
      </c>
      <c r="B809" t="s">
        <v>1014</v>
      </c>
      <c r="C809">
        <v>1356</v>
      </c>
      <c r="D809">
        <v>3</v>
      </c>
      <c r="E809">
        <v>3</v>
      </c>
      <c r="F809">
        <v>12</v>
      </c>
      <c r="G809" t="s">
        <v>1022</v>
      </c>
      <c r="H809" t="s">
        <v>1023</v>
      </c>
      <c r="I809" t="s">
        <v>1022</v>
      </c>
      <c r="J809" t="s">
        <v>1023</v>
      </c>
      <c r="K809" t="s">
        <v>1024</v>
      </c>
      <c r="L809">
        <v>17</v>
      </c>
      <c r="M809">
        <v>21</v>
      </c>
      <c r="N809">
        <v>10550000</v>
      </c>
      <c r="O809">
        <f>PropertyData[[#This Row],[Price]]/PropertyData[[#This Row],[Area_sqft]]</f>
        <v>7780.2359882005903</v>
      </c>
      <c r="P809" t="str">
        <f t="shared" si="12"/>
        <v>Premium</v>
      </c>
    </row>
    <row r="810" spans="1:16">
      <c r="A810" t="s">
        <v>822</v>
      </c>
      <c r="B810" t="s">
        <v>1015</v>
      </c>
      <c r="C810">
        <v>914</v>
      </c>
      <c r="D810">
        <v>2</v>
      </c>
      <c r="E810">
        <v>2</v>
      </c>
      <c r="F810">
        <v>15</v>
      </c>
      <c r="G810" t="s">
        <v>1023</v>
      </c>
      <c r="H810" t="s">
        <v>1022</v>
      </c>
      <c r="I810" t="s">
        <v>1023</v>
      </c>
      <c r="J810" t="s">
        <v>1023</v>
      </c>
      <c r="K810" t="s">
        <v>1025</v>
      </c>
      <c r="L810">
        <v>16</v>
      </c>
      <c r="M810">
        <v>21</v>
      </c>
      <c r="N810">
        <v>2800000</v>
      </c>
      <c r="O810">
        <f>PropertyData[[#This Row],[Price]]/PropertyData[[#This Row],[Area_sqft]]</f>
        <v>3063.4573304157548</v>
      </c>
      <c r="P810" t="str">
        <f t="shared" si="12"/>
        <v>Budget</v>
      </c>
    </row>
    <row r="811" spans="1:16">
      <c r="A811" t="s">
        <v>823</v>
      </c>
      <c r="B811" t="s">
        <v>1020</v>
      </c>
      <c r="C811">
        <v>1135</v>
      </c>
      <c r="D811">
        <v>2</v>
      </c>
      <c r="E811">
        <v>2</v>
      </c>
      <c r="F811">
        <v>1</v>
      </c>
      <c r="G811" t="s">
        <v>1022</v>
      </c>
      <c r="H811" t="s">
        <v>1022</v>
      </c>
      <c r="I811" t="s">
        <v>1022</v>
      </c>
      <c r="J811" t="s">
        <v>1023</v>
      </c>
      <c r="K811" t="s">
        <v>1025</v>
      </c>
      <c r="L811">
        <v>13</v>
      </c>
      <c r="M811">
        <v>22</v>
      </c>
      <c r="N811">
        <v>9050000</v>
      </c>
      <c r="O811">
        <f>PropertyData[[#This Row],[Price]]/PropertyData[[#This Row],[Area_sqft]]</f>
        <v>7973.5682819383264</v>
      </c>
      <c r="P811" t="str">
        <f t="shared" si="12"/>
        <v>Mid-Range</v>
      </c>
    </row>
    <row r="812" spans="1:16">
      <c r="A812" t="s">
        <v>824</v>
      </c>
      <c r="B812" t="s">
        <v>1021</v>
      </c>
      <c r="C812">
        <v>1230</v>
      </c>
      <c r="D812">
        <v>3</v>
      </c>
      <c r="E812">
        <v>2</v>
      </c>
      <c r="F812">
        <v>22</v>
      </c>
      <c r="G812" t="s">
        <v>1022</v>
      </c>
      <c r="H812" t="s">
        <v>1023</v>
      </c>
      <c r="I812" t="s">
        <v>1023</v>
      </c>
      <c r="J812" t="s">
        <v>1022</v>
      </c>
      <c r="K812" t="s">
        <v>1024</v>
      </c>
      <c r="L812">
        <v>7</v>
      </c>
      <c r="M812">
        <v>11</v>
      </c>
      <c r="N812">
        <v>7400000</v>
      </c>
      <c r="O812">
        <f>PropertyData[[#This Row],[Price]]/PropertyData[[#This Row],[Area_sqft]]</f>
        <v>6016.2601626016258</v>
      </c>
      <c r="P812" t="str">
        <f t="shared" si="12"/>
        <v>Mid-Range</v>
      </c>
    </row>
    <row r="813" spans="1:16">
      <c r="A813" t="s">
        <v>825</v>
      </c>
      <c r="B813" t="s">
        <v>1014</v>
      </c>
      <c r="C813">
        <v>1835</v>
      </c>
      <c r="D813">
        <v>4</v>
      </c>
      <c r="E813">
        <v>4</v>
      </c>
      <c r="F813">
        <v>14</v>
      </c>
      <c r="G813" t="s">
        <v>1023</v>
      </c>
      <c r="H813" t="s">
        <v>1022</v>
      </c>
      <c r="I813" t="s">
        <v>1023</v>
      </c>
      <c r="J813" t="s">
        <v>1023</v>
      </c>
      <c r="K813" t="s">
        <v>1025</v>
      </c>
      <c r="L813">
        <v>9</v>
      </c>
      <c r="M813">
        <v>18</v>
      </c>
      <c r="N813">
        <v>12100000</v>
      </c>
      <c r="O813">
        <f>PropertyData[[#This Row],[Price]]/PropertyData[[#This Row],[Area_sqft]]</f>
        <v>6594.0054495912809</v>
      </c>
      <c r="P813" t="str">
        <f t="shared" si="12"/>
        <v>Premium</v>
      </c>
    </row>
    <row r="814" spans="1:16">
      <c r="A814" t="s">
        <v>826</v>
      </c>
      <c r="B814" t="s">
        <v>1016</v>
      </c>
      <c r="C814">
        <v>928</v>
      </c>
      <c r="D814">
        <v>1</v>
      </c>
      <c r="E814">
        <v>1</v>
      </c>
      <c r="F814">
        <v>28</v>
      </c>
      <c r="G814" t="s">
        <v>1022</v>
      </c>
      <c r="H814" t="s">
        <v>1022</v>
      </c>
      <c r="I814" t="s">
        <v>1023</v>
      </c>
      <c r="J814" t="s">
        <v>1022</v>
      </c>
      <c r="K814" t="s">
        <v>1025</v>
      </c>
      <c r="L814">
        <v>4</v>
      </c>
      <c r="M814">
        <v>5</v>
      </c>
      <c r="N814">
        <v>3450000</v>
      </c>
      <c r="O814">
        <f>PropertyData[[#This Row],[Price]]/PropertyData[[#This Row],[Area_sqft]]</f>
        <v>3717.6724137931033</v>
      </c>
      <c r="P814" t="str">
        <f t="shared" si="12"/>
        <v>Budget</v>
      </c>
    </row>
    <row r="815" spans="1:16">
      <c r="A815" t="s">
        <v>827</v>
      </c>
      <c r="B815" t="s">
        <v>1014</v>
      </c>
      <c r="C815">
        <v>1368</v>
      </c>
      <c r="D815">
        <v>3</v>
      </c>
      <c r="E815">
        <v>3</v>
      </c>
      <c r="F815">
        <v>16</v>
      </c>
      <c r="G815" t="s">
        <v>1022</v>
      </c>
      <c r="H815" t="s">
        <v>1023</v>
      </c>
      <c r="I815" t="s">
        <v>1022</v>
      </c>
      <c r="J815" t="s">
        <v>1023</v>
      </c>
      <c r="K815" t="s">
        <v>1025</v>
      </c>
      <c r="L815">
        <v>18</v>
      </c>
      <c r="M815">
        <v>23</v>
      </c>
      <c r="N815">
        <v>7650000</v>
      </c>
      <c r="O815">
        <f>PropertyData[[#This Row],[Price]]/PropertyData[[#This Row],[Area_sqft]]</f>
        <v>5592.105263157895</v>
      </c>
      <c r="P815" t="str">
        <f t="shared" si="12"/>
        <v>Mid-Range</v>
      </c>
    </row>
    <row r="816" spans="1:16">
      <c r="A816" t="s">
        <v>828</v>
      </c>
      <c r="B816" t="s">
        <v>1014</v>
      </c>
      <c r="C816">
        <v>1806</v>
      </c>
      <c r="D816">
        <v>4</v>
      </c>
      <c r="E816">
        <v>3</v>
      </c>
      <c r="F816">
        <v>14</v>
      </c>
      <c r="G816" t="s">
        <v>1023</v>
      </c>
      <c r="H816" t="s">
        <v>1022</v>
      </c>
      <c r="I816" t="s">
        <v>1023</v>
      </c>
      <c r="J816" t="s">
        <v>1022</v>
      </c>
      <c r="K816" t="s">
        <v>1025</v>
      </c>
      <c r="L816">
        <v>4</v>
      </c>
      <c r="M816">
        <v>22</v>
      </c>
      <c r="N816">
        <v>11200000</v>
      </c>
      <c r="O816">
        <f>PropertyData[[#This Row],[Price]]/PropertyData[[#This Row],[Area_sqft]]</f>
        <v>6201.5503875968989</v>
      </c>
      <c r="P816" t="str">
        <f t="shared" si="12"/>
        <v>Premium</v>
      </c>
    </row>
    <row r="817" spans="1:16">
      <c r="A817" t="s">
        <v>829</v>
      </c>
      <c r="B817" t="s">
        <v>1021</v>
      </c>
      <c r="C817">
        <v>1421</v>
      </c>
      <c r="D817">
        <v>2</v>
      </c>
      <c r="E817">
        <v>3</v>
      </c>
      <c r="F817">
        <v>26</v>
      </c>
      <c r="G817" t="s">
        <v>1022</v>
      </c>
      <c r="H817" t="s">
        <v>1022</v>
      </c>
      <c r="I817" t="s">
        <v>1022</v>
      </c>
      <c r="J817" t="s">
        <v>1022</v>
      </c>
      <c r="K817" t="s">
        <v>1025</v>
      </c>
      <c r="L817">
        <v>10</v>
      </c>
      <c r="M817">
        <v>17</v>
      </c>
      <c r="N817">
        <v>8100000</v>
      </c>
      <c r="O817">
        <f>PropertyData[[#This Row],[Price]]/PropertyData[[#This Row],[Area_sqft]]</f>
        <v>5700.2111189303305</v>
      </c>
      <c r="P817" t="str">
        <f t="shared" si="12"/>
        <v>Mid-Range</v>
      </c>
    </row>
    <row r="818" spans="1:16">
      <c r="A818" t="s">
        <v>830</v>
      </c>
      <c r="B818" t="s">
        <v>1017</v>
      </c>
      <c r="C818">
        <v>899</v>
      </c>
      <c r="D818">
        <v>2</v>
      </c>
      <c r="E818">
        <v>1</v>
      </c>
      <c r="F818">
        <v>12</v>
      </c>
      <c r="G818" t="s">
        <v>1022</v>
      </c>
      <c r="H818" t="s">
        <v>1022</v>
      </c>
      <c r="I818" t="s">
        <v>1023</v>
      </c>
      <c r="J818" t="s">
        <v>1022</v>
      </c>
      <c r="K818" t="s">
        <v>1025</v>
      </c>
      <c r="L818">
        <v>11</v>
      </c>
      <c r="M818">
        <v>22</v>
      </c>
      <c r="N818">
        <v>3200000</v>
      </c>
      <c r="O818">
        <f>PropertyData[[#This Row],[Price]]/PropertyData[[#This Row],[Area_sqft]]</f>
        <v>3559.5105672969967</v>
      </c>
      <c r="P818" t="str">
        <f t="shared" si="12"/>
        <v>Budget</v>
      </c>
    </row>
    <row r="819" spans="1:16">
      <c r="A819" t="s">
        <v>831</v>
      </c>
      <c r="B819" t="s">
        <v>1015</v>
      </c>
      <c r="C819">
        <v>1222</v>
      </c>
      <c r="D819">
        <v>3</v>
      </c>
      <c r="E819">
        <v>4</v>
      </c>
      <c r="F819">
        <v>27</v>
      </c>
      <c r="G819" t="s">
        <v>1023</v>
      </c>
      <c r="H819" t="s">
        <v>1022</v>
      </c>
      <c r="I819" t="s">
        <v>1022</v>
      </c>
      <c r="J819" t="s">
        <v>1022</v>
      </c>
      <c r="K819" t="s">
        <v>1025</v>
      </c>
      <c r="L819">
        <v>12</v>
      </c>
      <c r="M819">
        <v>22</v>
      </c>
      <c r="N819">
        <v>3750000</v>
      </c>
      <c r="O819">
        <f>PropertyData[[#This Row],[Price]]/PropertyData[[#This Row],[Area_sqft]]</f>
        <v>3068.7397708674303</v>
      </c>
      <c r="P819" t="str">
        <f t="shared" si="12"/>
        <v>Budget</v>
      </c>
    </row>
    <row r="820" spans="1:16">
      <c r="A820" t="s">
        <v>832</v>
      </c>
      <c r="B820" t="s">
        <v>1021</v>
      </c>
      <c r="C820">
        <v>1161</v>
      </c>
      <c r="D820">
        <v>2</v>
      </c>
      <c r="E820">
        <v>3</v>
      </c>
      <c r="F820">
        <v>22</v>
      </c>
      <c r="G820" t="s">
        <v>1022</v>
      </c>
      <c r="H820" t="s">
        <v>1023</v>
      </c>
      <c r="I820" t="s">
        <v>1023</v>
      </c>
      <c r="J820" t="s">
        <v>1022</v>
      </c>
      <c r="K820" t="s">
        <v>1024</v>
      </c>
      <c r="L820">
        <v>6</v>
      </c>
      <c r="M820">
        <v>9</v>
      </c>
      <c r="N820">
        <v>7650000</v>
      </c>
      <c r="O820">
        <f>PropertyData[[#This Row],[Price]]/PropertyData[[#This Row],[Area_sqft]]</f>
        <v>6589.1472868217052</v>
      </c>
      <c r="P820" t="str">
        <f t="shared" si="12"/>
        <v>Mid-Range</v>
      </c>
    </row>
    <row r="821" spans="1:16">
      <c r="A821" t="s">
        <v>833</v>
      </c>
      <c r="B821" t="s">
        <v>1016</v>
      </c>
      <c r="C821">
        <v>1589</v>
      </c>
      <c r="D821">
        <v>3</v>
      </c>
      <c r="E821">
        <v>3</v>
      </c>
      <c r="F821">
        <v>30</v>
      </c>
      <c r="G821" t="s">
        <v>1022</v>
      </c>
      <c r="H821" t="s">
        <v>1023</v>
      </c>
      <c r="I821" t="s">
        <v>1023</v>
      </c>
      <c r="J821" t="s">
        <v>1022</v>
      </c>
      <c r="K821" t="s">
        <v>1024</v>
      </c>
      <c r="L821">
        <v>3</v>
      </c>
      <c r="M821">
        <v>14</v>
      </c>
      <c r="N821">
        <v>6000000</v>
      </c>
      <c r="O821">
        <f>PropertyData[[#This Row],[Price]]/PropertyData[[#This Row],[Area_sqft]]</f>
        <v>3775.9597230962868</v>
      </c>
      <c r="P821" t="str">
        <f t="shared" si="12"/>
        <v>Mid-Range</v>
      </c>
    </row>
    <row r="822" spans="1:16">
      <c r="A822" t="s">
        <v>834</v>
      </c>
      <c r="B822" t="s">
        <v>1021</v>
      </c>
      <c r="C822">
        <v>1147</v>
      </c>
      <c r="D822">
        <v>2</v>
      </c>
      <c r="E822">
        <v>2</v>
      </c>
      <c r="F822">
        <v>26</v>
      </c>
      <c r="G822" t="s">
        <v>1022</v>
      </c>
      <c r="H822" t="s">
        <v>1023</v>
      </c>
      <c r="I822" t="s">
        <v>1023</v>
      </c>
      <c r="J822" t="s">
        <v>1023</v>
      </c>
      <c r="K822" t="s">
        <v>1025</v>
      </c>
      <c r="L822">
        <v>11</v>
      </c>
      <c r="M822">
        <v>18</v>
      </c>
      <c r="N822">
        <v>5750000</v>
      </c>
      <c r="O822">
        <f>PropertyData[[#This Row],[Price]]/PropertyData[[#This Row],[Area_sqft]]</f>
        <v>5013.0775937227554</v>
      </c>
      <c r="P822" t="str">
        <f t="shared" si="12"/>
        <v>Mid-Range</v>
      </c>
    </row>
    <row r="823" spans="1:16">
      <c r="A823" t="s">
        <v>835</v>
      </c>
      <c r="B823" t="s">
        <v>1014</v>
      </c>
      <c r="C823">
        <v>1586</v>
      </c>
      <c r="D823">
        <v>3</v>
      </c>
      <c r="E823">
        <v>3</v>
      </c>
      <c r="F823">
        <v>1</v>
      </c>
      <c r="G823" t="s">
        <v>1022</v>
      </c>
      <c r="H823" t="s">
        <v>1022</v>
      </c>
      <c r="I823" t="s">
        <v>1023</v>
      </c>
      <c r="J823" t="s">
        <v>1022</v>
      </c>
      <c r="K823" t="s">
        <v>1025</v>
      </c>
      <c r="L823">
        <v>8</v>
      </c>
      <c r="M823">
        <v>21</v>
      </c>
      <c r="N823">
        <v>12000000</v>
      </c>
      <c r="O823">
        <f>PropertyData[[#This Row],[Price]]/PropertyData[[#This Row],[Area_sqft]]</f>
        <v>7566.2042875157631</v>
      </c>
      <c r="P823" t="str">
        <f t="shared" si="12"/>
        <v>Premium</v>
      </c>
    </row>
    <row r="824" spans="1:16">
      <c r="A824" t="s">
        <v>836</v>
      </c>
      <c r="B824" t="s">
        <v>1014</v>
      </c>
      <c r="C824">
        <v>818</v>
      </c>
      <c r="D824">
        <v>2</v>
      </c>
      <c r="E824">
        <v>2</v>
      </c>
      <c r="F824">
        <v>25</v>
      </c>
      <c r="G824" t="s">
        <v>1022</v>
      </c>
      <c r="H824" t="s">
        <v>1022</v>
      </c>
      <c r="I824" t="s">
        <v>1022</v>
      </c>
      <c r="J824" t="s">
        <v>1022</v>
      </c>
      <c r="K824" t="s">
        <v>1025</v>
      </c>
      <c r="L824">
        <v>8</v>
      </c>
      <c r="M824">
        <v>8</v>
      </c>
      <c r="N824">
        <v>4650000</v>
      </c>
      <c r="O824">
        <f>PropertyData[[#This Row],[Price]]/PropertyData[[#This Row],[Area_sqft]]</f>
        <v>5684.5965770171151</v>
      </c>
      <c r="P824" t="str">
        <f t="shared" si="12"/>
        <v>Budget</v>
      </c>
    </row>
    <row r="825" spans="1:16">
      <c r="A825" t="s">
        <v>837</v>
      </c>
      <c r="B825" t="s">
        <v>1020</v>
      </c>
      <c r="C825">
        <v>1347</v>
      </c>
      <c r="D825">
        <v>3</v>
      </c>
      <c r="E825">
        <v>3</v>
      </c>
      <c r="F825">
        <v>19</v>
      </c>
      <c r="G825" t="s">
        <v>1022</v>
      </c>
      <c r="H825" t="s">
        <v>1023</v>
      </c>
      <c r="I825" t="s">
        <v>1023</v>
      </c>
      <c r="J825" t="s">
        <v>1022</v>
      </c>
      <c r="K825" t="s">
        <v>1025</v>
      </c>
      <c r="L825">
        <v>4</v>
      </c>
      <c r="M825">
        <v>4</v>
      </c>
      <c r="N825">
        <v>7550000</v>
      </c>
      <c r="O825">
        <f>PropertyData[[#This Row],[Price]]/PropertyData[[#This Row],[Area_sqft]]</f>
        <v>5605.0482553823313</v>
      </c>
      <c r="P825" t="str">
        <f t="shared" si="12"/>
        <v>Mid-Range</v>
      </c>
    </row>
    <row r="826" spans="1:16">
      <c r="A826" t="s">
        <v>838</v>
      </c>
      <c r="B826" t="s">
        <v>1015</v>
      </c>
      <c r="C826">
        <v>2265</v>
      </c>
      <c r="D826">
        <v>5</v>
      </c>
      <c r="E826">
        <v>5</v>
      </c>
      <c r="F826">
        <v>9</v>
      </c>
      <c r="G826" t="s">
        <v>1022</v>
      </c>
      <c r="H826" t="s">
        <v>1022</v>
      </c>
      <c r="I826" t="s">
        <v>1023</v>
      </c>
      <c r="J826" t="s">
        <v>1022</v>
      </c>
      <c r="K826" t="s">
        <v>1024</v>
      </c>
      <c r="L826">
        <v>4</v>
      </c>
      <c r="M826">
        <v>17</v>
      </c>
      <c r="N826">
        <v>10550000</v>
      </c>
      <c r="O826">
        <f>PropertyData[[#This Row],[Price]]/PropertyData[[#This Row],[Area_sqft]]</f>
        <v>4657.8366445916117</v>
      </c>
      <c r="P826" t="str">
        <f t="shared" si="12"/>
        <v>Premium</v>
      </c>
    </row>
    <row r="827" spans="1:16">
      <c r="A827" t="s">
        <v>839</v>
      </c>
      <c r="B827" t="s">
        <v>1019</v>
      </c>
      <c r="C827">
        <v>1408</v>
      </c>
      <c r="D827">
        <v>3</v>
      </c>
      <c r="E827">
        <v>3</v>
      </c>
      <c r="F827">
        <v>24</v>
      </c>
      <c r="G827" t="s">
        <v>1022</v>
      </c>
      <c r="H827" t="s">
        <v>1022</v>
      </c>
      <c r="I827" t="s">
        <v>1023</v>
      </c>
      <c r="J827" t="s">
        <v>1022</v>
      </c>
      <c r="K827" t="s">
        <v>1025</v>
      </c>
      <c r="L827">
        <v>10</v>
      </c>
      <c r="M827">
        <v>14</v>
      </c>
      <c r="N827">
        <v>10250000</v>
      </c>
      <c r="O827">
        <f>PropertyData[[#This Row],[Price]]/PropertyData[[#This Row],[Area_sqft]]</f>
        <v>7279.829545454545</v>
      </c>
      <c r="P827" t="str">
        <f t="shared" si="12"/>
        <v>Premium</v>
      </c>
    </row>
    <row r="828" spans="1:16">
      <c r="A828" t="s">
        <v>840</v>
      </c>
      <c r="B828" t="s">
        <v>1015</v>
      </c>
      <c r="C828">
        <v>2128</v>
      </c>
      <c r="D828">
        <v>5</v>
      </c>
      <c r="E828">
        <v>5</v>
      </c>
      <c r="F828">
        <v>11</v>
      </c>
      <c r="G828" t="s">
        <v>1022</v>
      </c>
      <c r="H828" t="s">
        <v>1022</v>
      </c>
      <c r="I828" t="s">
        <v>1022</v>
      </c>
      <c r="J828" t="s">
        <v>1022</v>
      </c>
      <c r="K828" t="s">
        <v>1025</v>
      </c>
      <c r="L828">
        <v>1</v>
      </c>
      <c r="M828">
        <v>6</v>
      </c>
      <c r="N828">
        <v>9450000</v>
      </c>
      <c r="O828">
        <f>PropertyData[[#This Row],[Price]]/PropertyData[[#This Row],[Area_sqft]]</f>
        <v>4440.7894736842109</v>
      </c>
      <c r="P828" t="str">
        <f t="shared" si="12"/>
        <v>Mid-Range</v>
      </c>
    </row>
    <row r="829" spans="1:16">
      <c r="A829" t="s">
        <v>841</v>
      </c>
      <c r="B829" t="s">
        <v>1019</v>
      </c>
      <c r="C829">
        <v>747</v>
      </c>
      <c r="D829">
        <v>1</v>
      </c>
      <c r="E829">
        <v>2</v>
      </c>
      <c r="F829">
        <v>21</v>
      </c>
      <c r="G829" t="s">
        <v>1022</v>
      </c>
      <c r="H829" t="s">
        <v>1023</v>
      </c>
      <c r="I829" t="s">
        <v>1023</v>
      </c>
      <c r="J829" t="s">
        <v>1022</v>
      </c>
      <c r="K829" t="s">
        <v>1026</v>
      </c>
      <c r="L829">
        <v>10</v>
      </c>
      <c r="M829">
        <v>14</v>
      </c>
      <c r="N829">
        <v>7300000</v>
      </c>
      <c r="O829">
        <f>PropertyData[[#This Row],[Price]]/PropertyData[[#This Row],[Area_sqft]]</f>
        <v>9772.4230254350732</v>
      </c>
      <c r="P829" t="str">
        <f t="shared" si="12"/>
        <v>Mid-Range</v>
      </c>
    </row>
    <row r="830" spans="1:16">
      <c r="A830" t="s">
        <v>842</v>
      </c>
      <c r="B830" t="s">
        <v>1014</v>
      </c>
      <c r="C830">
        <v>1088</v>
      </c>
      <c r="D830">
        <v>2</v>
      </c>
      <c r="E830">
        <v>1</v>
      </c>
      <c r="F830">
        <v>24</v>
      </c>
      <c r="G830" t="s">
        <v>1022</v>
      </c>
      <c r="H830" t="s">
        <v>1023</v>
      </c>
      <c r="I830" t="s">
        <v>1023</v>
      </c>
      <c r="J830" t="s">
        <v>1022</v>
      </c>
      <c r="K830" t="s">
        <v>1025</v>
      </c>
      <c r="L830">
        <v>7</v>
      </c>
      <c r="M830">
        <v>20</v>
      </c>
      <c r="N830">
        <v>6150000</v>
      </c>
      <c r="O830">
        <f>PropertyData[[#This Row],[Price]]/PropertyData[[#This Row],[Area_sqft]]</f>
        <v>5652.5735294117649</v>
      </c>
      <c r="P830" t="str">
        <f t="shared" si="12"/>
        <v>Mid-Range</v>
      </c>
    </row>
    <row r="831" spans="1:16">
      <c r="A831" t="s">
        <v>843</v>
      </c>
      <c r="B831" t="s">
        <v>1014</v>
      </c>
      <c r="C831">
        <v>1406</v>
      </c>
      <c r="D831">
        <v>4</v>
      </c>
      <c r="E831">
        <v>4</v>
      </c>
      <c r="F831">
        <v>5</v>
      </c>
      <c r="G831" t="s">
        <v>1022</v>
      </c>
      <c r="H831" t="s">
        <v>1022</v>
      </c>
      <c r="I831" t="s">
        <v>1023</v>
      </c>
      <c r="J831" t="s">
        <v>1022</v>
      </c>
      <c r="K831" t="s">
        <v>1026</v>
      </c>
      <c r="L831">
        <v>7</v>
      </c>
      <c r="M831">
        <v>15</v>
      </c>
      <c r="N831">
        <v>14800000</v>
      </c>
      <c r="O831">
        <f>PropertyData[[#This Row],[Price]]/PropertyData[[#This Row],[Area_sqft]]</f>
        <v>10526.315789473685</v>
      </c>
      <c r="P831" t="str">
        <f t="shared" si="12"/>
        <v>Premium</v>
      </c>
    </row>
    <row r="832" spans="1:16">
      <c r="A832" t="s">
        <v>844</v>
      </c>
      <c r="B832" t="s">
        <v>1017</v>
      </c>
      <c r="C832">
        <v>1224</v>
      </c>
      <c r="D832">
        <v>2</v>
      </c>
      <c r="E832">
        <v>3</v>
      </c>
      <c r="F832">
        <v>25</v>
      </c>
      <c r="G832" t="s">
        <v>1022</v>
      </c>
      <c r="H832" t="s">
        <v>1022</v>
      </c>
      <c r="I832" t="s">
        <v>1022</v>
      </c>
      <c r="J832" t="s">
        <v>1022</v>
      </c>
      <c r="K832" t="s">
        <v>1025</v>
      </c>
      <c r="L832">
        <v>13</v>
      </c>
      <c r="M832">
        <v>19</v>
      </c>
      <c r="N832">
        <v>4300000</v>
      </c>
      <c r="O832">
        <f>PropertyData[[#This Row],[Price]]/PropertyData[[#This Row],[Area_sqft]]</f>
        <v>3513.0718954248364</v>
      </c>
      <c r="P832" t="str">
        <f t="shared" si="12"/>
        <v>Budget</v>
      </c>
    </row>
    <row r="833" spans="1:16">
      <c r="A833" t="s">
        <v>845</v>
      </c>
      <c r="B833" t="s">
        <v>1020</v>
      </c>
      <c r="C833">
        <v>1575</v>
      </c>
      <c r="D833">
        <v>3</v>
      </c>
      <c r="E833">
        <v>3</v>
      </c>
      <c r="F833">
        <v>5</v>
      </c>
      <c r="G833" t="s">
        <v>1022</v>
      </c>
      <c r="H833" t="s">
        <v>1023</v>
      </c>
      <c r="I833" t="s">
        <v>1022</v>
      </c>
      <c r="J833" t="s">
        <v>1022</v>
      </c>
      <c r="K833" t="s">
        <v>1025</v>
      </c>
      <c r="L833">
        <v>20</v>
      </c>
      <c r="M833">
        <v>24</v>
      </c>
      <c r="N833">
        <v>11350000</v>
      </c>
      <c r="O833">
        <f>PropertyData[[#This Row],[Price]]/PropertyData[[#This Row],[Area_sqft]]</f>
        <v>7206.3492063492067</v>
      </c>
      <c r="P833" t="str">
        <f t="shared" si="12"/>
        <v>Premium</v>
      </c>
    </row>
    <row r="834" spans="1:16">
      <c r="A834" t="s">
        <v>846</v>
      </c>
      <c r="B834" t="s">
        <v>1016</v>
      </c>
      <c r="C834">
        <v>1890</v>
      </c>
      <c r="D834">
        <v>4</v>
      </c>
      <c r="E834">
        <v>4</v>
      </c>
      <c r="F834">
        <v>12</v>
      </c>
      <c r="G834" t="s">
        <v>1022</v>
      </c>
      <c r="H834" t="s">
        <v>1023</v>
      </c>
      <c r="I834" t="s">
        <v>1023</v>
      </c>
      <c r="J834" t="s">
        <v>1022</v>
      </c>
      <c r="K834" t="s">
        <v>1025</v>
      </c>
      <c r="L834">
        <v>4</v>
      </c>
      <c r="M834">
        <v>12</v>
      </c>
      <c r="N834">
        <v>8800000</v>
      </c>
      <c r="O834">
        <f>PropertyData[[#This Row],[Price]]/PropertyData[[#This Row],[Area_sqft]]</f>
        <v>4656.0846560846558</v>
      </c>
      <c r="P834" t="str">
        <f t="shared" ref="P834:P897" si="13">IF(N834&lt;5000000,"Budget",IF(N834&lt;=10000000,"Mid-Range","Premium"))</f>
        <v>Mid-Range</v>
      </c>
    </row>
    <row r="835" spans="1:16">
      <c r="A835" t="s">
        <v>847</v>
      </c>
      <c r="B835" t="s">
        <v>1014</v>
      </c>
      <c r="C835">
        <v>1015</v>
      </c>
      <c r="D835">
        <v>2</v>
      </c>
      <c r="E835">
        <v>2</v>
      </c>
      <c r="F835">
        <v>25</v>
      </c>
      <c r="G835" t="s">
        <v>1023</v>
      </c>
      <c r="H835" t="s">
        <v>1023</v>
      </c>
      <c r="I835" t="s">
        <v>1023</v>
      </c>
      <c r="J835" t="s">
        <v>1022</v>
      </c>
      <c r="K835" t="s">
        <v>1025</v>
      </c>
      <c r="L835">
        <v>17</v>
      </c>
      <c r="M835">
        <v>24</v>
      </c>
      <c r="N835">
        <v>6150000</v>
      </c>
      <c r="O835">
        <f>PropertyData[[#This Row],[Price]]/PropertyData[[#This Row],[Area_sqft]]</f>
        <v>6059.1133004926105</v>
      </c>
      <c r="P835" t="str">
        <f t="shared" si="13"/>
        <v>Mid-Range</v>
      </c>
    </row>
    <row r="836" spans="1:16">
      <c r="A836" t="s">
        <v>848</v>
      </c>
      <c r="B836" t="s">
        <v>1015</v>
      </c>
      <c r="C836">
        <v>1047</v>
      </c>
      <c r="D836">
        <v>3</v>
      </c>
      <c r="E836">
        <v>3</v>
      </c>
      <c r="F836">
        <v>20</v>
      </c>
      <c r="G836" t="s">
        <v>1022</v>
      </c>
      <c r="H836" t="s">
        <v>1022</v>
      </c>
      <c r="I836" t="s">
        <v>1023</v>
      </c>
      <c r="J836" t="s">
        <v>1022</v>
      </c>
      <c r="K836" t="s">
        <v>1024</v>
      </c>
      <c r="L836">
        <v>16</v>
      </c>
      <c r="M836">
        <v>17</v>
      </c>
      <c r="N836">
        <v>3700000</v>
      </c>
      <c r="O836">
        <f>PropertyData[[#This Row],[Price]]/PropertyData[[#This Row],[Area_sqft]]</f>
        <v>3533.906399235912</v>
      </c>
      <c r="P836" t="str">
        <f t="shared" si="13"/>
        <v>Budget</v>
      </c>
    </row>
    <row r="837" spans="1:16">
      <c r="A837" t="s">
        <v>849</v>
      </c>
      <c r="B837" t="s">
        <v>1014</v>
      </c>
      <c r="C837">
        <v>1232</v>
      </c>
      <c r="D837">
        <v>3</v>
      </c>
      <c r="E837">
        <v>3</v>
      </c>
      <c r="F837">
        <v>29</v>
      </c>
      <c r="G837" t="s">
        <v>1022</v>
      </c>
      <c r="H837" t="s">
        <v>1022</v>
      </c>
      <c r="I837" t="s">
        <v>1023</v>
      </c>
      <c r="J837" t="s">
        <v>1022</v>
      </c>
      <c r="K837" t="s">
        <v>1024</v>
      </c>
      <c r="L837">
        <v>12</v>
      </c>
      <c r="M837">
        <v>24</v>
      </c>
      <c r="N837">
        <v>7950000</v>
      </c>
      <c r="O837">
        <f>PropertyData[[#This Row],[Price]]/PropertyData[[#This Row],[Area_sqft]]</f>
        <v>6452.9220779220777</v>
      </c>
      <c r="P837" t="str">
        <f t="shared" si="13"/>
        <v>Mid-Range</v>
      </c>
    </row>
    <row r="838" spans="1:16">
      <c r="A838" t="s">
        <v>850</v>
      </c>
      <c r="B838" t="s">
        <v>1018</v>
      </c>
      <c r="C838">
        <v>1203</v>
      </c>
      <c r="D838">
        <v>3</v>
      </c>
      <c r="E838">
        <v>3</v>
      </c>
      <c r="F838">
        <v>21</v>
      </c>
      <c r="G838" t="s">
        <v>1023</v>
      </c>
      <c r="H838" t="s">
        <v>1022</v>
      </c>
      <c r="I838" t="s">
        <v>1023</v>
      </c>
      <c r="J838" t="s">
        <v>1023</v>
      </c>
      <c r="K838" t="s">
        <v>1025</v>
      </c>
      <c r="L838">
        <v>19</v>
      </c>
      <c r="M838">
        <v>20</v>
      </c>
      <c r="N838">
        <v>4800000</v>
      </c>
      <c r="O838">
        <f>PropertyData[[#This Row],[Price]]/PropertyData[[#This Row],[Area_sqft]]</f>
        <v>3990.0249376558604</v>
      </c>
      <c r="P838" t="str">
        <f t="shared" si="13"/>
        <v>Budget</v>
      </c>
    </row>
    <row r="839" spans="1:16">
      <c r="A839" t="s">
        <v>851</v>
      </c>
      <c r="B839" t="s">
        <v>1016</v>
      </c>
      <c r="C839">
        <v>1504</v>
      </c>
      <c r="D839">
        <v>3</v>
      </c>
      <c r="E839">
        <v>3</v>
      </c>
      <c r="F839">
        <v>4</v>
      </c>
      <c r="G839" t="s">
        <v>1023</v>
      </c>
      <c r="H839" t="s">
        <v>1023</v>
      </c>
      <c r="I839" t="s">
        <v>1023</v>
      </c>
      <c r="J839" t="s">
        <v>1022</v>
      </c>
      <c r="K839" t="s">
        <v>1024</v>
      </c>
      <c r="L839">
        <v>10</v>
      </c>
      <c r="M839">
        <v>11</v>
      </c>
      <c r="N839">
        <v>8050000</v>
      </c>
      <c r="O839">
        <f>PropertyData[[#This Row],[Price]]/PropertyData[[#This Row],[Area_sqft]]</f>
        <v>5352.3936170212764</v>
      </c>
      <c r="P839" t="str">
        <f t="shared" si="13"/>
        <v>Mid-Range</v>
      </c>
    </row>
    <row r="840" spans="1:16">
      <c r="A840" t="s">
        <v>852</v>
      </c>
      <c r="B840" t="s">
        <v>1018</v>
      </c>
      <c r="C840">
        <v>1134</v>
      </c>
      <c r="D840">
        <v>3</v>
      </c>
      <c r="E840">
        <v>4</v>
      </c>
      <c r="F840">
        <v>13</v>
      </c>
      <c r="G840" t="s">
        <v>1022</v>
      </c>
      <c r="H840" t="s">
        <v>1022</v>
      </c>
      <c r="I840" t="s">
        <v>1023</v>
      </c>
      <c r="J840" t="s">
        <v>1023</v>
      </c>
      <c r="K840" t="s">
        <v>1025</v>
      </c>
      <c r="L840">
        <v>7</v>
      </c>
      <c r="M840">
        <v>15</v>
      </c>
      <c r="N840">
        <v>5800000</v>
      </c>
      <c r="O840">
        <f>PropertyData[[#This Row],[Price]]/PropertyData[[#This Row],[Area_sqft]]</f>
        <v>5114.6384479717817</v>
      </c>
      <c r="P840" t="str">
        <f t="shared" si="13"/>
        <v>Mid-Range</v>
      </c>
    </row>
    <row r="841" spans="1:16">
      <c r="A841" t="s">
        <v>853</v>
      </c>
      <c r="B841" t="s">
        <v>1017</v>
      </c>
      <c r="C841">
        <v>1095</v>
      </c>
      <c r="D841">
        <v>3</v>
      </c>
      <c r="E841">
        <v>3</v>
      </c>
      <c r="F841">
        <v>19</v>
      </c>
      <c r="G841" t="s">
        <v>1022</v>
      </c>
      <c r="H841" t="s">
        <v>1022</v>
      </c>
      <c r="I841" t="s">
        <v>1023</v>
      </c>
      <c r="J841" t="s">
        <v>1022</v>
      </c>
      <c r="K841" t="s">
        <v>1024</v>
      </c>
      <c r="L841">
        <v>3</v>
      </c>
      <c r="M841">
        <v>17</v>
      </c>
      <c r="N841">
        <v>4800000</v>
      </c>
      <c r="O841">
        <f>PropertyData[[#This Row],[Price]]/PropertyData[[#This Row],[Area_sqft]]</f>
        <v>4383.5616438356165</v>
      </c>
      <c r="P841" t="str">
        <f t="shared" si="13"/>
        <v>Budget</v>
      </c>
    </row>
    <row r="842" spans="1:16">
      <c r="A842" t="s">
        <v>854</v>
      </c>
      <c r="B842" t="s">
        <v>1015</v>
      </c>
      <c r="C842">
        <v>1157</v>
      </c>
      <c r="D842">
        <v>2</v>
      </c>
      <c r="E842">
        <v>1</v>
      </c>
      <c r="F842">
        <v>14</v>
      </c>
      <c r="G842" t="s">
        <v>1023</v>
      </c>
      <c r="H842" t="s">
        <v>1022</v>
      </c>
      <c r="I842" t="s">
        <v>1023</v>
      </c>
      <c r="J842" t="s">
        <v>1023</v>
      </c>
      <c r="K842" t="s">
        <v>1024</v>
      </c>
      <c r="L842">
        <v>18</v>
      </c>
      <c r="M842">
        <v>18</v>
      </c>
      <c r="N842">
        <v>4050000</v>
      </c>
      <c r="O842">
        <f>PropertyData[[#This Row],[Price]]/PropertyData[[#This Row],[Area_sqft]]</f>
        <v>3500.4321521175452</v>
      </c>
      <c r="P842" t="str">
        <f t="shared" si="13"/>
        <v>Budget</v>
      </c>
    </row>
    <row r="843" spans="1:16">
      <c r="A843" t="s">
        <v>855</v>
      </c>
      <c r="B843" t="s">
        <v>1017</v>
      </c>
      <c r="C843">
        <v>1423</v>
      </c>
      <c r="D843">
        <v>3</v>
      </c>
      <c r="E843">
        <v>3</v>
      </c>
      <c r="F843">
        <v>18</v>
      </c>
      <c r="G843" t="s">
        <v>1023</v>
      </c>
      <c r="H843" t="s">
        <v>1023</v>
      </c>
      <c r="I843" t="s">
        <v>1023</v>
      </c>
      <c r="J843" t="s">
        <v>1022</v>
      </c>
      <c r="K843" t="s">
        <v>1025</v>
      </c>
      <c r="L843">
        <v>8</v>
      </c>
      <c r="M843">
        <v>21</v>
      </c>
      <c r="N843">
        <v>4400000</v>
      </c>
      <c r="O843">
        <f>PropertyData[[#This Row],[Price]]/PropertyData[[#This Row],[Area_sqft]]</f>
        <v>3092.0590302178498</v>
      </c>
      <c r="P843" t="str">
        <f t="shared" si="13"/>
        <v>Budget</v>
      </c>
    </row>
    <row r="844" spans="1:16">
      <c r="A844" t="s">
        <v>856</v>
      </c>
      <c r="B844" t="s">
        <v>1021</v>
      </c>
      <c r="C844">
        <v>1300</v>
      </c>
      <c r="D844">
        <v>3</v>
      </c>
      <c r="E844">
        <v>4</v>
      </c>
      <c r="F844">
        <v>25</v>
      </c>
      <c r="G844" t="s">
        <v>1022</v>
      </c>
      <c r="H844" t="s">
        <v>1023</v>
      </c>
      <c r="I844" t="s">
        <v>1023</v>
      </c>
      <c r="J844" t="s">
        <v>1022</v>
      </c>
      <c r="K844" t="s">
        <v>1025</v>
      </c>
      <c r="L844">
        <v>16</v>
      </c>
      <c r="M844">
        <v>24</v>
      </c>
      <c r="N844">
        <v>6400000</v>
      </c>
      <c r="O844">
        <f>PropertyData[[#This Row],[Price]]/PropertyData[[#This Row],[Area_sqft]]</f>
        <v>4923.0769230769229</v>
      </c>
      <c r="P844" t="str">
        <f t="shared" si="13"/>
        <v>Mid-Range</v>
      </c>
    </row>
    <row r="845" spans="1:16">
      <c r="A845" t="s">
        <v>857</v>
      </c>
      <c r="B845" t="s">
        <v>1017</v>
      </c>
      <c r="C845">
        <v>1430</v>
      </c>
      <c r="D845">
        <v>3</v>
      </c>
      <c r="E845">
        <v>2</v>
      </c>
      <c r="F845">
        <v>1</v>
      </c>
      <c r="G845" t="s">
        <v>1023</v>
      </c>
      <c r="H845" t="s">
        <v>1023</v>
      </c>
      <c r="I845" t="s">
        <v>1023</v>
      </c>
      <c r="J845" t="s">
        <v>1023</v>
      </c>
      <c r="K845" t="s">
        <v>1026</v>
      </c>
      <c r="L845">
        <v>1</v>
      </c>
      <c r="M845">
        <v>21</v>
      </c>
      <c r="N845">
        <v>6700000</v>
      </c>
      <c r="O845">
        <f>PropertyData[[#This Row],[Price]]/PropertyData[[#This Row],[Area_sqft]]</f>
        <v>4685.3146853146854</v>
      </c>
      <c r="P845" t="str">
        <f t="shared" si="13"/>
        <v>Mid-Range</v>
      </c>
    </row>
    <row r="846" spans="1:16">
      <c r="A846" t="s">
        <v>858</v>
      </c>
      <c r="B846" t="s">
        <v>1015</v>
      </c>
      <c r="C846">
        <v>1280</v>
      </c>
      <c r="D846">
        <v>3</v>
      </c>
      <c r="E846">
        <v>2</v>
      </c>
      <c r="F846">
        <v>25</v>
      </c>
      <c r="G846" t="s">
        <v>1022</v>
      </c>
      <c r="H846" t="s">
        <v>1022</v>
      </c>
      <c r="I846" t="s">
        <v>1022</v>
      </c>
      <c r="J846" t="s">
        <v>1022</v>
      </c>
      <c r="K846" t="s">
        <v>1024</v>
      </c>
      <c r="L846">
        <v>7</v>
      </c>
      <c r="M846">
        <v>10</v>
      </c>
      <c r="N846">
        <v>4800000</v>
      </c>
      <c r="O846">
        <f>PropertyData[[#This Row],[Price]]/PropertyData[[#This Row],[Area_sqft]]</f>
        <v>3750</v>
      </c>
      <c r="P846" t="str">
        <f t="shared" si="13"/>
        <v>Budget</v>
      </c>
    </row>
    <row r="847" spans="1:16">
      <c r="A847" t="s">
        <v>859</v>
      </c>
      <c r="B847" t="s">
        <v>1020</v>
      </c>
      <c r="C847">
        <v>1543</v>
      </c>
      <c r="D847">
        <v>3</v>
      </c>
      <c r="E847">
        <v>4</v>
      </c>
      <c r="F847">
        <v>3</v>
      </c>
      <c r="G847" t="s">
        <v>1022</v>
      </c>
      <c r="H847" t="s">
        <v>1022</v>
      </c>
      <c r="I847" t="s">
        <v>1023</v>
      </c>
      <c r="J847" t="s">
        <v>1022</v>
      </c>
      <c r="K847" t="s">
        <v>1024</v>
      </c>
      <c r="L847">
        <v>17</v>
      </c>
      <c r="M847">
        <v>21</v>
      </c>
      <c r="N847">
        <v>9200000</v>
      </c>
      <c r="O847">
        <f>PropertyData[[#This Row],[Price]]/PropertyData[[#This Row],[Area_sqft]]</f>
        <v>5962.4108878807519</v>
      </c>
      <c r="P847" t="str">
        <f t="shared" si="13"/>
        <v>Mid-Range</v>
      </c>
    </row>
    <row r="848" spans="1:16">
      <c r="A848" t="s">
        <v>860</v>
      </c>
      <c r="B848" t="s">
        <v>1020</v>
      </c>
      <c r="C848">
        <v>951</v>
      </c>
      <c r="D848">
        <v>2</v>
      </c>
      <c r="E848">
        <v>2</v>
      </c>
      <c r="F848">
        <v>12</v>
      </c>
      <c r="G848" t="s">
        <v>1022</v>
      </c>
      <c r="H848" t="s">
        <v>1023</v>
      </c>
      <c r="I848" t="s">
        <v>1023</v>
      </c>
      <c r="J848" t="s">
        <v>1023</v>
      </c>
      <c r="K848" t="s">
        <v>1024</v>
      </c>
      <c r="L848">
        <v>19</v>
      </c>
      <c r="M848">
        <v>23</v>
      </c>
      <c r="N848">
        <v>6300000</v>
      </c>
      <c r="O848">
        <f>PropertyData[[#This Row],[Price]]/PropertyData[[#This Row],[Area_sqft]]</f>
        <v>6624.6056782334381</v>
      </c>
      <c r="P848" t="str">
        <f t="shared" si="13"/>
        <v>Mid-Range</v>
      </c>
    </row>
    <row r="849" spans="1:16">
      <c r="A849" t="s">
        <v>861</v>
      </c>
      <c r="B849" t="s">
        <v>1017</v>
      </c>
      <c r="C849">
        <v>1001</v>
      </c>
      <c r="D849">
        <v>2</v>
      </c>
      <c r="E849">
        <v>2</v>
      </c>
      <c r="F849">
        <v>2</v>
      </c>
      <c r="G849" t="s">
        <v>1022</v>
      </c>
      <c r="H849" t="s">
        <v>1023</v>
      </c>
      <c r="I849" t="s">
        <v>1022</v>
      </c>
      <c r="J849" t="s">
        <v>1022</v>
      </c>
      <c r="K849" t="s">
        <v>1025</v>
      </c>
      <c r="L849">
        <v>15</v>
      </c>
      <c r="M849">
        <v>20</v>
      </c>
      <c r="N849">
        <v>3800000</v>
      </c>
      <c r="O849">
        <f>PropertyData[[#This Row],[Price]]/PropertyData[[#This Row],[Area_sqft]]</f>
        <v>3796.2037962037962</v>
      </c>
      <c r="P849" t="str">
        <f t="shared" si="13"/>
        <v>Budget</v>
      </c>
    </row>
    <row r="850" spans="1:16">
      <c r="A850" t="s">
        <v>862</v>
      </c>
      <c r="B850" t="s">
        <v>1015</v>
      </c>
      <c r="C850">
        <v>1209</v>
      </c>
      <c r="D850">
        <v>3</v>
      </c>
      <c r="E850">
        <v>3</v>
      </c>
      <c r="F850">
        <v>7</v>
      </c>
      <c r="G850" t="s">
        <v>1022</v>
      </c>
      <c r="H850" t="s">
        <v>1022</v>
      </c>
      <c r="I850" t="s">
        <v>1023</v>
      </c>
      <c r="J850" t="s">
        <v>1023</v>
      </c>
      <c r="K850" t="s">
        <v>1025</v>
      </c>
      <c r="L850">
        <v>20</v>
      </c>
      <c r="M850">
        <v>20</v>
      </c>
      <c r="N850">
        <v>4550000</v>
      </c>
      <c r="O850">
        <f>PropertyData[[#This Row],[Price]]/PropertyData[[#This Row],[Area_sqft]]</f>
        <v>3763.4408602150538</v>
      </c>
      <c r="P850" t="str">
        <f t="shared" si="13"/>
        <v>Budget</v>
      </c>
    </row>
    <row r="851" spans="1:16">
      <c r="A851" t="s">
        <v>863</v>
      </c>
      <c r="B851" t="s">
        <v>1014</v>
      </c>
      <c r="C851">
        <v>1393</v>
      </c>
      <c r="D851">
        <v>3</v>
      </c>
      <c r="E851">
        <v>2</v>
      </c>
      <c r="F851">
        <v>22</v>
      </c>
      <c r="G851" t="s">
        <v>1022</v>
      </c>
      <c r="H851" t="s">
        <v>1023</v>
      </c>
      <c r="I851" t="s">
        <v>1023</v>
      </c>
      <c r="J851" t="s">
        <v>1022</v>
      </c>
      <c r="K851" t="s">
        <v>1025</v>
      </c>
      <c r="L851">
        <v>15</v>
      </c>
      <c r="M851">
        <v>18</v>
      </c>
      <c r="N851">
        <v>7300000</v>
      </c>
      <c r="O851">
        <f>PropertyData[[#This Row],[Price]]/PropertyData[[#This Row],[Area_sqft]]</f>
        <v>5240.4881550610198</v>
      </c>
      <c r="P851" t="str">
        <f t="shared" si="13"/>
        <v>Mid-Range</v>
      </c>
    </row>
    <row r="852" spans="1:16">
      <c r="A852" t="s">
        <v>864</v>
      </c>
      <c r="B852" t="s">
        <v>1014</v>
      </c>
      <c r="C852">
        <v>1473</v>
      </c>
      <c r="D852">
        <v>2</v>
      </c>
      <c r="E852">
        <v>1</v>
      </c>
      <c r="F852">
        <v>29</v>
      </c>
      <c r="G852" t="s">
        <v>1022</v>
      </c>
      <c r="H852" t="s">
        <v>1022</v>
      </c>
      <c r="I852" t="s">
        <v>1022</v>
      </c>
      <c r="J852" t="s">
        <v>1022</v>
      </c>
      <c r="K852" t="s">
        <v>1025</v>
      </c>
      <c r="L852">
        <v>18</v>
      </c>
      <c r="M852">
        <v>23</v>
      </c>
      <c r="N852">
        <v>8050000</v>
      </c>
      <c r="O852">
        <f>PropertyData[[#This Row],[Price]]/PropertyData[[#This Row],[Area_sqft]]</f>
        <v>5465.0373387644267</v>
      </c>
      <c r="P852" t="str">
        <f t="shared" si="13"/>
        <v>Mid-Range</v>
      </c>
    </row>
    <row r="853" spans="1:16">
      <c r="A853" t="s">
        <v>865</v>
      </c>
      <c r="B853" t="s">
        <v>1021</v>
      </c>
      <c r="C853">
        <v>1193</v>
      </c>
      <c r="D853">
        <v>3</v>
      </c>
      <c r="E853">
        <v>3</v>
      </c>
      <c r="F853">
        <v>17</v>
      </c>
      <c r="G853" t="s">
        <v>1022</v>
      </c>
      <c r="H853" t="s">
        <v>1023</v>
      </c>
      <c r="I853" t="s">
        <v>1023</v>
      </c>
      <c r="J853" t="s">
        <v>1022</v>
      </c>
      <c r="K853" t="s">
        <v>1025</v>
      </c>
      <c r="L853">
        <v>4</v>
      </c>
      <c r="M853">
        <v>23</v>
      </c>
      <c r="N853">
        <v>7650000</v>
      </c>
      <c r="O853">
        <f>PropertyData[[#This Row],[Price]]/PropertyData[[#This Row],[Area_sqft]]</f>
        <v>6412.4056999161776</v>
      </c>
      <c r="P853" t="str">
        <f t="shared" si="13"/>
        <v>Mid-Range</v>
      </c>
    </row>
    <row r="854" spans="1:16">
      <c r="A854" t="s">
        <v>866</v>
      </c>
      <c r="B854" t="s">
        <v>1015</v>
      </c>
      <c r="C854">
        <v>1435</v>
      </c>
      <c r="D854">
        <v>3</v>
      </c>
      <c r="E854">
        <v>3</v>
      </c>
      <c r="F854">
        <v>4</v>
      </c>
      <c r="G854" t="s">
        <v>1022</v>
      </c>
      <c r="H854" t="s">
        <v>1023</v>
      </c>
      <c r="I854" t="s">
        <v>1023</v>
      </c>
      <c r="J854" t="s">
        <v>1022</v>
      </c>
      <c r="K854" t="s">
        <v>1025</v>
      </c>
      <c r="L854">
        <v>20</v>
      </c>
      <c r="M854">
        <v>23</v>
      </c>
      <c r="N854">
        <v>4900000</v>
      </c>
      <c r="O854">
        <f>PropertyData[[#This Row],[Price]]/PropertyData[[#This Row],[Area_sqft]]</f>
        <v>3414.6341463414633</v>
      </c>
      <c r="P854" t="str">
        <f t="shared" si="13"/>
        <v>Budget</v>
      </c>
    </row>
    <row r="855" spans="1:16">
      <c r="A855" t="s">
        <v>867</v>
      </c>
      <c r="B855" t="s">
        <v>1017</v>
      </c>
      <c r="C855">
        <v>1603</v>
      </c>
      <c r="D855">
        <v>2</v>
      </c>
      <c r="E855">
        <v>2</v>
      </c>
      <c r="F855">
        <v>15</v>
      </c>
      <c r="G855" t="s">
        <v>1022</v>
      </c>
      <c r="H855" t="s">
        <v>1022</v>
      </c>
      <c r="I855" t="s">
        <v>1023</v>
      </c>
      <c r="J855" t="s">
        <v>1023</v>
      </c>
      <c r="K855" t="s">
        <v>1026</v>
      </c>
      <c r="L855">
        <v>20</v>
      </c>
      <c r="M855">
        <v>24</v>
      </c>
      <c r="N855">
        <v>7200000</v>
      </c>
      <c r="O855">
        <f>PropertyData[[#This Row],[Price]]/PropertyData[[#This Row],[Area_sqft]]</f>
        <v>4491.5782907049279</v>
      </c>
      <c r="P855" t="str">
        <f t="shared" si="13"/>
        <v>Mid-Range</v>
      </c>
    </row>
    <row r="856" spans="1:16">
      <c r="A856" t="s">
        <v>868</v>
      </c>
      <c r="B856" t="s">
        <v>1014</v>
      </c>
      <c r="C856">
        <v>1058</v>
      </c>
      <c r="D856">
        <v>2</v>
      </c>
      <c r="E856">
        <v>2</v>
      </c>
      <c r="F856">
        <v>14</v>
      </c>
      <c r="G856" t="s">
        <v>1022</v>
      </c>
      <c r="H856" t="s">
        <v>1022</v>
      </c>
      <c r="I856" t="s">
        <v>1023</v>
      </c>
      <c r="J856" t="s">
        <v>1022</v>
      </c>
      <c r="K856" t="s">
        <v>1024</v>
      </c>
      <c r="L856">
        <v>19</v>
      </c>
      <c r="M856">
        <v>19</v>
      </c>
      <c r="N856">
        <v>8000000</v>
      </c>
      <c r="O856">
        <f>PropertyData[[#This Row],[Price]]/PropertyData[[#This Row],[Area_sqft]]</f>
        <v>7561.4366729678641</v>
      </c>
      <c r="P856" t="str">
        <f t="shared" si="13"/>
        <v>Mid-Range</v>
      </c>
    </row>
    <row r="857" spans="1:16">
      <c r="A857" t="s">
        <v>869</v>
      </c>
      <c r="B857" t="s">
        <v>1020</v>
      </c>
      <c r="C857">
        <v>1396</v>
      </c>
      <c r="D857">
        <v>2</v>
      </c>
      <c r="E857">
        <v>2</v>
      </c>
      <c r="F857">
        <v>7</v>
      </c>
      <c r="G857" t="s">
        <v>1022</v>
      </c>
      <c r="H857" t="s">
        <v>1022</v>
      </c>
      <c r="I857" t="s">
        <v>1023</v>
      </c>
      <c r="J857" t="s">
        <v>1022</v>
      </c>
      <c r="K857" t="s">
        <v>1025</v>
      </c>
      <c r="L857">
        <v>8</v>
      </c>
      <c r="M857">
        <v>14</v>
      </c>
      <c r="N857">
        <v>8650000</v>
      </c>
      <c r="O857">
        <f>PropertyData[[#This Row],[Price]]/PropertyData[[#This Row],[Area_sqft]]</f>
        <v>6196.2750716332375</v>
      </c>
      <c r="P857" t="str">
        <f t="shared" si="13"/>
        <v>Mid-Range</v>
      </c>
    </row>
    <row r="858" spans="1:16">
      <c r="A858" t="s">
        <v>870</v>
      </c>
      <c r="B858" t="s">
        <v>1016</v>
      </c>
      <c r="C858">
        <v>1111</v>
      </c>
      <c r="D858">
        <v>2</v>
      </c>
      <c r="E858">
        <v>1</v>
      </c>
      <c r="F858">
        <v>15</v>
      </c>
      <c r="G858" t="s">
        <v>1022</v>
      </c>
      <c r="H858" t="s">
        <v>1023</v>
      </c>
      <c r="I858" t="s">
        <v>1022</v>
      </c>
      <c r="J858" t="s">
        <v>1022</v>
      </c>
      <c r="K858" t="s">
        <v>1025</v>
      </c>
      <c r="L858">
        <v>20</v>
      </c>
      <c r="M858">
        <v>24</v>
      </c>
      <c r="N858">
        <v>4850000</v>
      </c>
      <c r="O858">
        <f>PropertyData[[#This Row],[Price]]/PropertyData[[#This Row],[Area_sqft]]</f>
        <v>4365.4365436543658</v>
      </c>
      <c r="P858" t="str">
        <f t="shared" si="13"/>
        <v>Budget</v>
      </c>
    </row>
    <row r="859" spans="1:16">
      <c r="A859" t="s">
        <v>871</v>
      </c>
      <c r="B859" t="s">
        <v>1017</v>
      </c>
      <c r="C859">
        <v>1177</v>
      </c>
      <c r="D859">
        <v>2</v>
      </c>
      <c r="E859">
        <v>2</v>
      </c>
      <c r="F859">
        <v>7</v>
      </c>
      <c r="G859" t="s">
        <v>1022</v>
      </c>
      <c r="H859" t="s">
        <v>1022</v>
      </c>
      <c r="I859" t="s">
        <v>1022</v>
      </c>
      <c r="J859" t="s">
        <v>1022</v>
      </c>
      <c r="K859" t="s">
        <v>1024</v>
      </c>
      <c r="L859">
        <v>11</v>
      </c>
      <c r="M859">
        <v>17</v>
      </c>
      <c r="N859">
        <v>6500000</v>
      </c>
      <c r="O859">
        <f>PropertyData[[#This Row],[Price]]/PropertyData[[#This Row],[Area_sqft]]</f>
        <v>5522.5148683092611</v>
      </c>
      <c r="P859" t="str">
        <f t="shared" si="13"/>
        <v>Mid-Range</v>
      </c>
    </row>
    <row r="860" spans="1:16">
      <c r="A860" t="s">
        <v>872</v>
      </c>
      <c r="B860" t="s">
        <v>1014</v>
      </c>
      <c r="C860">
        <v>1209</v>
      </c>
      <c r="D860">
        <v>3</v>
      </c>
      <c r="E860">
        <v>2</v>
      </c>
      <c r="F860">
        <v>1</v>
      </c>
      <c r="G860" t="s">
        <v>1023</v>
      </c>
      <c r="H860" t="s">
        <v>1023</v>
      </c>
      <c r="I860" t="s">
        <v>1023</v>
      </c>
      <c r="J860" t="s">
        <v>1022</v>
      </c>
      <c r="K860" t="s">
        <v>1025</v>
      </c>
      <c r="L860">
        <v>20</v>
      </c>
      <c r="M860">
        <v>20</v>
      </c>
      <c r="N860">
        <v>8350000</v>
      </c>
      <c r="O860">
        <f>PropertyData[[#This Row],[Price]]/PropertyData[[#This Row],[Area_sqft]]</f>
        <v>6906.5343258891644</v>
      </c>
      <c r="P860" t="str">
        <f t="shared" si="13"/>
        <v>Mid-Range</v>
      </c>
    </row>
    <row r="861" spans="1:16">
      <c r="A861" t="s">
        <v>873</v>
      </c>
      <c r="B861" t="s">
        <v>1017</v>
      </c>
      <c r="C861">
        <v>1438</v>
      </c>
      <c r="D861">
        <v>3</v>
      </c>
      <c r="E861">
        <v>3</v>
      </c>
      <c r="F861">
        <v>7</v>
      </c>
      <c r="G861" t="s">
        <v>1022</v>
      </c>
      <c r="H861" t="s">
        <v>1022</v>
      </c>
      <c r="I861" t="s">
        <v>1023</v>
      </c>
      <c r="J861" t="s">
        <v>1022</v>
      </c>
      <c r="K861" t="s">
        <v>1025</v>
      </c>
      <c r="L861">
        <v>13</v>
      </c>
      <c r="M861">
        <v>13</v>
      </c>
      <c r="N861">
        <v>5550000</v>
      </c>
      <c r="O861">
        <f>PropertyData[[#This Row],[Price]]/PropertyData[[#This Row],[Area_sqft]]</f>
        <v>3859.5271210013907</v>
      </c>
      <c r="P861" t="str">
        <f t="shared" si="13"/>
        <v>Mid-Range</v>
      </c>
    </row>
    <row r="862" spans="1:16">
      <c r="A862" t="s">
        <v>874</v>
      </c>
      <c r="B862" t="s">
        <v>1016</v>
      </c>
      <c r="C862">
        <v>929</v>
      </c>
      <c r="D862">
        <v>2</v>
      </c>
      <c r="E862">
        <v>2</v>
      </c>
      <c r="F862">
        <v>27</v>
      </c>
      <c r="G862" t="s">
        <v>1022</v>
      </c>
      <c r="H862" t="s">
        <v>1023</v>
      </c>
      <c r="I862" t="s">
        <v>1023</v>
      </c>
      <c r="J862" t="s">
        <v>1023</v>
      </c>
      <c r="K862" t="s">
        <v>1025</v>
      </c>
      <c r="L862">
        <v>7</v>
      </c>
      <c r="M862">
        <v>18</v>
      </c>
      <c r="N862">
        <v>4050000</v>
      </c>
      <c r="O862">
        <f>PropertyData[[#This Row],[Price]]/PropertyData[[#This Row],[Area_sqft]]</f>
        <v>4359.5263724434881</v>
      </c>
      <c r="P862" t="str">
        <f t="shared" si="13"/>
        <v>Budget</v>
      </c>
    </row>
    <row r="863" spans="1:16">
      <c r="A863" t="s">
        <v>875</v>
      </c>
      <c r="B863" t="s">
        <v>1019</v>
      </c>
      <c r="C863">
        <v>1364</v>
      </c>
      <c r="D863">
        <v>3</v>
      </c>
      <c r="E863">
        <v>3</v>
      </c>
      <c r="F863">
        <v>8</v>
      </c>
      <c r="G863" t="s">
        <v>1022</v>
      </c>
      <c r="H863" t="s">
        <v>1023</v>
      </c>
      <c r="I863" t="s">
        <v>1023</v>
      </c>
      <c r="J863" t="s">
        <v>1022</v>
      </c>
      <c r="K863" t="s">
        <v>1025</v>
      </c>
      <c r="L863">
        <v>18</v>
      </c>
      <c r="M863">
        <v>22</v>
      </c>
      <c r="N863">
        <v>12250000</v>
      </c>
      <c r="O863">
        <f>PropertyData[[#This Row],[Price]]/PropertyData[[#This Row],[Area_sqft]]</f>
        <v>8980.9384164222865</v>
      </c>
      <c r="P863" t="str">
        <f t="shared" si="13"/>
        <v>Premium</v>
      </c>
    </row>
    <row r="864" spans="1:16">
      <c r="A864" t="s">
        <v>876</v>
      </c>
      <c r="B864" t="s">
        <v>1020</v>
      </c>
      <c r="C864">
        <v>1357</v>
      </c>
      <c r="D864">
        <v>3</v>
      </c>
      <c r="E864">
        <v>3</v>
      </c>
      <c r="F864">
        <v>10</v>
      </c>
      <c r="G864" t="s">
        <v>1022</v>
      </c>
      <c r="H864" t="s">
        <v>1022</v>
      </c>
      <c r="I864" t="s">
        <v>1023</v>
      </c>
      <c r="J864" t="s">
        <v>1022</v>
      </c>
      <c r="K864" t="s">
        <v>1026</v>
      </c>
      <c r="L864">
        <v>13</v>
      </c>
      <c r="M864">
        <v>13</v>
      </c>
      <c r="N864">
        <v>14700000</v>
      </c>
      <c r="O864">
        <f>PropertyData[[#This Row],[Price]]/PropertyData[[#This Row],[Area_sqft]]</f>
        <v>10832.719233603537</v>
      </c>
      <c r="P864" t="str">
        <f t="shared" si="13"/>
        <v>Premium</v>
      </c>
    </row>
    <row r="865" spans="1:16">
      <c r="A865" t="s">
        <v>877</v>
      </c>
      <c r="B865" t="s">
        <v>1021</v>
      </c>
      <c r="C865">
        <v>509</v>
      </c>
      <c r="D865">
        <v>1</v>
      </c>
      <c r="E865">
        <v>2</v>
      </c>
      <c r="F865">
        <v>29</v>
      </c>
      <c r="G865" t="s">
        <v>1023</v>
      </c>
      <c r="H865" t="s">
        <v>1023</v>
      </c>
      <c r="I865" t="s">
        <v>1023</v>
      </c>
      <c r="J865" t="s">
        <v>1022</v>
      </c>
      <c r="K865" t="s">
        <v>1024</v>
      </c>
      <c r="L865">
        <v>9</v>
      </c>
      <c r="M865">
        <v>19</v>
      </c>
      <c r="N865">
        <v>2500000</v>
      </c>
      <c r="O865">
        <f>PropertyData[[#This Row],[Price]]/PropertyData[[#This Row],[Area_sqft]]</f>
        <v>4911.5913555992138</v>
      </c>
      <c r="P865" t="str">
        <f t="shared" si="13"/>
        <v>Budget</v>
      </c>
    </row>
    <row r="866" spans="1:16">
      <c r="A866" t="s">
        <v>878</v>
      </c>
      <c r="B866" t="s">
        <v>1016</v>
      </c>
      <c r="C866">
        <v>1579</v>
      </c>
      <c r="D866">
        <v>3</v>
      </c>
      <c r="E866">
        <v>3</v>
      </c>
      <c r="F866">
        <v>15</v>
      </c>
      <c r="G866" t="s">
        <v>1022</v>
      </c>
      <c r="H866" t="s">
        <v>1022</v>
      </c>
      <c r="I866" t="s">
        <v>1023</v>
      </c>
      <c r="J866" t="s">
        <v>1023</v>
      </c>
      <c r="K866" t="s">
        <v>1025</v>
      </c>
      <c r="L866">
        <v>13</v>
      </c>
      <c r="M866">
        <v>13</v>
      </c>
      <c r="N866">
        <v>7250000</v>
      </c>
      <c r="O866">
        <f>PropertyData[[#This Row],[Price]]/PropertyData[[#This Row],[Area_sqft]]</f>
        <v>4591.5136162127928</v>
      </c>
      <c r="P866" t="str">
        <f t="shared" si="13"/>
        <v>Mid-Range</v>
      </c>
    </row>
    <row r="867" spans="1:16">
      <c r="A867" t="s">
        <v>879</v>
      </c>
      <c r="B867" t="s">
        <v>1020</v>
      </c>
      <c r="C867">
        <v>867</v>
      </c>
      <c r="D867">
        <v>2</v>
      </c>
      <c r="E867">
        <v>2</v>
      </c>
      <c r="F867">
        <v>10</v>
      </c>
      <c r="G867" t="s">
        <v>1022</v>
      </c>
      <c r="H867" t="s">
        <v>1023</v>
      </c>
      <c r="I867" t="s">
        <v>1023</v>
      </c>
      <c r="J867" t="s">
        <v>1022</v>
      </c>
      <c r="K867" t="s">
        <v>1024</v>
      </c>
      <c r="L867">
        <v>3</v>
      </c>
      <c r="M867">
        <v>6</v>
      </c>
      <c r="N867">
        <v>6350000</v>
      </c>
      <c r="O867">
        <f>PropertyData[[#This Row],[Price]]/PropertyData[[#This Row],[Area_sqft]]</f>
        <v>7324.1061130334483</v>
      </c>
      <c r="P867" t="str">
        <f t="shared" si="13"/>
        <v>Mid-Range</v>
      </c>
    </row>
    <row r="868" spans="1:16">
      <c r="A868" t="s">
        <v>880</v>
      </c>
      <c r="B868" t="s">
        <v>1020</v>
      </c>
      <c r="C868">
        <v>763</v>
      </c>
      <c r="D868">
        <v>1</v>
      </c>
      <c r="E868">
        <v>1</v>
      </c>
      <c r="F868">
        <v>5</v>
      </c>
      <c r="G868" t="s">
        <v>1022</v>
      </c>
      <c r="H868" t="s">
        <v>1023</v>
      </c>
      <c r="I868" t="s">
        <v>1022</v>
      </c>
      <c r="J868" t="s">
        <v>1022</v>
      </c>
      <c r="K868" t="s">
        <v>1025</v>
      </c>
      <c r="L868">
        <v>13</v>
      </c>
      <c r="M868">
        <v>22</v>
      </c>
      <c r="N868">
        <v>5450000</v>
      </c>
      <c r="O868">
        <f>PropertyData[[#This Row],[Price]]/PropertyData[[#This Row],[Area_sqft]]</f>
        <v>7142.8571428571431</v>
      </c>
      <c r="P868" t="str">
        <f t="shared" si="13"/>
        <v>Mid-Range</v>
      </c>
    </row>
    <row r="869" spans="1:16">
      <c r="A869" t="s">
        <v>881</v>
      </c>
      <c r="B869" t="s">
        <v>1016</v>
      </c>
      <c r="C869">
        <v>970</v>
      </c>
      <c r="D869">
        <v>2</v>
      </c>
      <c r="E869">
        <v>3</v>
      </c>
      <c r="F869">
        <v>7</v>
      </c>
      <c r="G869" t="s">
        <v>1022</v>
      </c>
      <c r="H869" t="s">
        <v>1022</v>
      </c>
      <c r="I869" t="s">
        <v>1022</v>
      </c>
      <c r="J869" t="s">
        <v>1022</v>
      </c>
      <c r="K869" t="s">
        <v>1026</v>
      </c>
      <c r="L869">
        <v>13</v>
      </c>
      <c r="M869">
        <v>18</v>
      </c>
      <c r="N869">
        <v>6300000</v>
      </c>
      <c r="O869">
        <f>PropertyData[[#This Row],[Price]]/PropertyData[[#This Row],[Area_sqft]]</f>
        <v>6494.8453608247419</v>
      </c>
      <c r="P869" t="str">
        <f t="shared" si="13"/>
        <v>Mid-Range</v>
      </c>
    </row>
    <row r="870" spans="1:16">
      <c r="A870" t="s">
        <v>882</v>
      </c>
      <c r="B870" t="s">
        <v>1017</v>
      </c>
      <c r="C870">
        <v>1833</v>
      </c>
      <c r="D870">
        <v>4</v>
      </c>
      <c r="E870">
        <v>3</v>
      </c>
      <c r="F870">
        <v>17</v>
      </c>
      <c r="G870" t="s">
        <v>1022</v>
      </c>
      <c r="H870" t="s">
        <v>1023</v>
      </c>
      <c r="I870" t="s">
        <v>1022</v>
      </c>
      <c r="J870" t="s">
        <v>1022</v>
      </c>
      <c r="K870" t="s">
        <v>1025</v>
      </c>
      <c r="L870">
        <v>15</v>
      </c>
      <c r="M870">
        <v>23</v>
      </c>
      <c r="N870">
        <v>5900000</v>
      </c>
      <c r="O870">
        <f>PropertyData[[#This Row],[Price]]/PropertyData[[#This Row],[Area_sqft]]</f>
        <v>3218.7670485542826</v>
      </c>
      <c r="P870" t="str">
        <f t="shared" si="13"/>
        <v>Mid-Range</v>
      </c>
    </row>
    <row r="871" spans="1:16">
      <c r="A871" t="s">
        <v>883</v>
      </c>
      <c r="B871" t="s">
        <v>1019</v>
      </c>
      <c r="C871">
        <v>1150</v>
      </c>
      <c r="D871">
        <v>3</v>
      </c>
      <c r="E871">
        <v>3</v>
      </c>
      <c r="F871">
        <v>25</v>
      </c>
      <c r="G871" t="s">
        <v>1023</v>
      </c>
      <c r="H871" t="s">
        <v>1023</v>
      </c>
      <c r="I871" t="s">
        <v>1023</v>
      </c>
      <c r="J871" t="s">
        <v>1022</v>
      </c>
      <c r="K871" t="s">
        <v>1026</v>
      </c>
      <c r="L871">
        <v>8</v>
      </c>
      <c r="M871">
        <v>21</v>
      </c>
      <c r="N871">
        <v>10300000</v>
      </c>
      <c r="O871">
        <f>PropertyData[[#This Row],[Price]]/PropertyData[[#This Row],[Area_sqft]]</f>
        <v>8956.5217391304341</v>
      </c>
      <c r="P871" t="str">
        <f t="shared" si="13"/>
        <v>Premium</v>
      </c>
    </row>
    <row r="872" spans="1:16">
      <c r="A872" t="s">
        <v>884</v>
      </c>
      <c r="B872" t="s">
        <v>1014</v>
      </c>
      <c r="C872">
        <v>1214</v>
      </c>
      <c r="D872">
        <v>3</v>
      </c>
      <c r="E872">
        <v>3</v>
      </c>
      <c r="F872">
        <v>5</v>
      </c>
      <c r="G872" t="s">
        <v>1022</v>
      </c>
      <c r="H872" t="s">
        <v>1023</v>
      </c>
      <c r="I872" t="s">
        <v>1022</v>
      </c>
      <c r="J872" t="s">
        <v>1022</v>
      </c>
      <c r="K872" t="s">
        <v>1025</v>
      </c>
      <c r="L872">
        <v>19</v>
      </c>
      <c r="M872">
        <v>21</v>
      </c>
      <c r="N872">
        <v>9050000</v>
      </c>
      <c r="O872">
        <f>PropertyData[[#This Row],[Price]]/PropertyData[[#This Row],[Area_sqft]]</f>
        <v>7454.695222405272</v>
      </c>
      <c r="P872" t="str">
        <f t="shared" si="13"/>
        <v>Mid-Range</v>
      </c>
    </row>
    <row r="873" spans="1:16">
      <c r="A873" t="s">
        <v>885</v>
      </c>
      <c r="B873" t="s">
        <v>1018</v>
      </c>
      <c r="C873">
        <v>965</v>
      </c>
      <c r="D873">
        <v>2</v>
      </c>
      <c r="E873">
        <v>2</v>
      </c>
      <c r="F873">
        <v>5</v>
      </c>
      <c r="G873" t="s">
        <v>1023</v>
      </c>
      <c r="H873" t="s">
        <v>1022</v>
      </c>
      <c r="I873" t="s">
        <v>1023</v>
      </c>
      <c r="J873" t="s">
        <v>1022</v>
      </c>
      <c r="K873" t="s">
        <v>1025</v>
      </c>
      <c r="L873">
        <v>15</v>
      </c>
      <c r="M873">
        <v>17</v>
      </c>
      <c r="N873">
        <v>5500000</v>
      </c>
      <c r="O873">
        <f>PropertyData[[#This Row],[Price]]/PropertyData[[#This Row],[Area_sqft]]</f>
        <v>5699.4818652849744</v>
      </c>
      <c r="P873" t="str">
        <f t="shared" si="13"/>
        <v>Mid-Range</v>
      </c>
    </row>
    <row r="874" spans="1:16">
      <c r="A874" t="s">
        <v>886</v>
      </c>
      <c r="B874" t="s">
        <v>1021</v>
      </c>
      <c r="C874">
        <v>1184</v>
      </c>
      <c r="D874">
        <v>2</v>
      </c>
      <c r="E874">
        <v>3</v>
      </c>
      <c r="F874">
        <v>1</v>
      </c>
      <c r="G874" t="s">
        <v>1023</v>
      </c>
      <c r="H874" t="s">
        <v>1023</v>
      </c>
      <c r="I874" t="s">
        <v>1023</v>
      </c>
      <c r="J874" t="s">
        <v>1023</v>
      </c>
      <c r="K874" t="s">
        <v>1025</v>
      </c>
      <c r="L874">
        <v>15</v>
      </c>
      <c r="M874">
        <v>17</v>
      </c>
      <c r="N874">
        <v>6700000</v>
      </c>
      <c r="O874">
        <f>PropertyData[[#This Row],[Price]]/PropertyData[[#This Row],[Area_sqft]]</f>
        <v>5658.7837837837842</v>
      </c>
      <c r="P874" t="str">
        <f t="shared" si="13"/>
        <v>Mid-Range</v>
      </c>
    </row>
    <row r="875" spans="1:16">
      <c r="A875" t="s">
        <v>887</v>
      </c>
      <c r="B875" t="s">
        <v>1018</v>
      </c>
      <c r="C875">
        <v>1871</v>
      </c>
      <c r="D875">
        <v>5</v>
      </c>
      <c r="E875">
        <v>5</v>
      </c>
      <c r="F875">
        <v>6</v>
      </c>
      <c r="G875" t="s">
        <v>1022</v>
      </c>
      <c r="H875" t="s">
        <v>1023</v>
      </c>
      <c r="I875" t="s">
        <v>1023</v>
      </c>
      <c r="J875" t="s">
        <v>1022</v>
      </c>
      <c r="K875" t="s">
        <v>1025</v>
      </c>
      <c r="L875">
        <v>10</v>
      </c>
      <c r="M875">
        <v>12</v>
      </c>
      <c r="N875">
        <v>9950000</v>
      </c>
      <c r="O875">
        <f>PropertyData[[#This Row],[Price]]/PropertyData[[#This Row],[Area_sqft]]</f>
        <v>5318.0117584179579</v>
      </c>
      <c r="P875" t="str">
        <f t="shared" si="13"/>
        <v>Mid-Range</v>
      </c>
    </row>
    <row r="876" spans="1:16">
      <c r="A876" t="s">
        <v>888</v>
      </c>
      <c r="B876" t="s">
        <v>1020</v>
      </c>
      <c r="C876">
        <v>1065</v>
      </c>
      <c r="D876">
        <v>2</v>
      </c>
      <c r="E876">
        <v>1</v>
      </c>
      <c r="F876">
        <v>18</v>
      </c>
      <c r="G876" t="s">
        <v>1022</v>
      </c>
      <c r="H876" t="s">
        <v>1023</v>
      </c>
      <c r="I876" t="s">
        <v>1022</v>
      </c>
      <c r="J876" t="s">
        <v>1022</v>
      </c>
      <c r="K876" t="s">
        <v>1025</v>
      </c>
      <c r="L876">
        <v>11</v>
      </c>
      <c r="M876">
        <v>12</v>
      </c>
      <c r="N876">
        <v>6900000</v>
      </c>
      <c r="O876">
        <f>PropertyData[[#This Row],[Price]]/PropertyData[[#This Row],[Area_sqft]]</f>
        <v>6478.8732394366198</v>
      </c>
      <c r="P876" t="str">
        <f t="shared" si="13"/>
        <v>Mid-Range</v>
      </c>
    </row>
    <row r="877" spans="1:16">
      <c r="A877" t="s">
        <v>889</v>
      </c>
      <c r="B877" t="s">
        <v>1018</v>
      </c>
      <c r="C877">
        <v>1184</v>
      </c>
      <c r="D877">
        <v>3</v>
      </c>
      <c r="E877">
        <v>3</v>
      </c>
      <c r="F877">
        <v>12</v>
      </c>
      <c r="G877" t="s">
        <v>1022</v>
      </c>
      <c r="H877" t="s">
        <v>1022</v>
      </c>
      <c r="I877" t="s">
        <v>1023</v>
      </c>
      <c r="J877" t="s">
        <v>1022</v>
      </c>
      <c r="K877" t="s">
        <v>1025</v>
      </c>
      <c r="L877">
        <v>3</v>
      </c>
      <c r="M877">
        <v>9</v>
      </c>
      <c r="N877">
        <v>5800000</v>
      </c>
      <c r="O877">
        <f>PropertyData[[#This Row],[Price]]/PropertyData[[#This Row],[Area_sqft]]</f>
        <v>4898.6486486486483</v>
      </c>
      <c r="P877" t="str">
        <f t="shared" si="13"/>
        <v>Mid-Range</v>
      </c>
    </row>
    <row r="878" spans="1:16">
      <c r="A878" t="s">
        <v>890</v>
      </c>
      <c r="B878" t="s">
        <v>1015</v>
      </c>
      <c r="C878">
        <v>1448</v>
      </c>
      <c r="D878">
        <v>3</v>
      </c>
      <c r="E878">
        <v>4</v>
      </c>
      <c r="F878">
        <v>19</v>
      </c>
      <c r="G878" t="s">
        <v>1022</v>
      </c>
      <c r="H878" t="s">
        <v>1023</v>
      </c>
      <c r="I878" t="s">
        <v>1023</v>
      </c>
      <c r="J878" t="s">
        <v>1022</v>
      </c>
      <c r="K878" t="s">
        <v>1025</v>
      </c>
      <c r="L878">
        <v>13</v>
      </c>
      <c r="M878">
        <v>21</v>
      </c>
      <c r="N878">
        <v>4600000</v>
      </c>
      <c r="O878">
        <f>PropertyData[[#This Row],[Price]]/PropertyData[[#This Row],[Area_sqft]]</f>
        <v>3176.7955801104972</v>
      </c>
      <c r="P878" t="str">
        <f t="shared" si="13"/>
        <v>Budget</v>
      </c>
    </row>
    <row r="879" spans="1:16">
      <c r="A879" t="s">
        <v>891</v>
      </c>
      <c r="B879" t="s">
        <v>1015</v>
      </c>
      <c r="C879">
        <v>1189</v>
      </c>
      <c r="D879">
        <v>4</v>
      </c>
      <c r="E879">
        <v>4</v>
      </c>
      <c r="F879">
        <v>6</v>
      </c>
      <c r="G879" t="s">
        <v>1023</v>
      </c>
      <c r="H879" t="s">
        <v>1023</v>
      </c>
      <c r="I879" t="s">
        <v>1023</v>
      </c>
      <c r="J879" t="s">
        <v>1022</v>
      </c>
      <c r="K879" t="s">
        <v>1025</v>
      </c>
      <c r="L879">
        <v>8</v>
      </c>
      <c r="M879">
        <v>14</v>
      </c>
      <c r="N879">
        <v>3800000</v>
      </c>
      <c r="O879">
        <f>PropertyData[[#This Row],[Price]]/PropertyData[[#This Row],[Area_sqft]]</f>
        <v>3195.9629941126996</v>
      </c>
      <c r="P879" t="str">
        <f t="shared" si="13"/>
        <v>Budget</v>
      </c>
    </row>
    <row r="880" spans="1:16">
      <c r="A880" t="s">
        <v>892</v>
      </c>
      <c r="B880" t="s">
        <v>1021</v>
      </c>
      <c r="C880">
        <v>1864</v>
      </c>
      <c r="D880">
        <v>4</v>
      </c>
      <c r="E880">
        <v>3</v>
      </c>
      <c r="F880">
        <v>9</v>
      </c>
      <c r="G880" t="s">
        <v>1023</v>
      </c>
      <c r="H880" t="s">
        <v>1022</v>
      </c>
      <c r="I880" t="s">
        <v>1023</v>
      </c>
      <c r="J880" t="s">
        <v>1022</v>
      </c>
      <c r="K880" t="s">
        <v>1024</v>
      </c>
      <c r="L880">
        <v>9</v>
      </c>
      <c r="M880">
        <v>21</v>
      </c>
      <c r="N880">
        <v>12150000</v>
      </c>
      <c r="O880">
        <f>PropertyData[[#This Row],[Price]]/PropertyData[[#This Row],[Area_sqft]]</f>
        <v>6518.2403433476393</v>
      </c>
      <c r="P880" t="str">
        <f t="shared" si="13"/>
        <v>Premium</v>
      </c>
    </row>
    <row r="881" spans="1:16">
      <c r="A881" t="s">
        <v>893</v>
      </c>
      <c r="B881" t="s">
        <v>1020</v>
      </c>
      <c r="C881">
        <v>1276</v>
      </c>
      <c r="D881">
        <v>3</v>
      </c>
      <c r="E881">
        <v>4</v>
      </c>
      <c r="F881">
        <v>14</v>
      </c>
      <c r="G881" t="s">
        <v>1022</v>
      </c>
      <c r="H881" t="s">
        <v>1022</v>
      </c>
      <c r="I881" t="s">
        <v>1022</v>
      </c>
      <c r="J881" t="s">
        <v>1022</v>
      </c>
      <c r="K881" t="s">
        <v>1025</v>
      </c>
      <c r="L881">
        <v>15</v>
      </c>
      <c r="M881">
        <v>22</v>
      </c>
      <c r="N881">
        <v>7950000</v>
      </c>
      <c r="O881">
        <f>PropertyData[[#This Row],[Price]]/PropertyData[[#This Row],[Area_sqft]]</f>
        <v>6230.4075235109722</v>
      </c>
      <c r="P881" t="str">
        <f t="shared" si="13"/>
        <v>Mid-Range</v>
      </c>
    </row>
    <row r="882" spans="1:16">
      <c r="A882" t="s">
        <v>894</v>
      </c>
      <c r="B882" t="s">
        <v>1020</v>
      </c>
      <c r="C882">
        <v>1302</v>
      </c>
      <c r="D882">
        <v>3</v>
      </c>
      <c r="E882">
        <v>3</v>
      </c>
      <c r="F882">
        <v>18</v>
      </c>
      <c r="G882" t="s">
        <v>1022</v>
      </c>
      <c r="H882" t="s">
        <v>1022</v>
      </c>
      <c r="I882" t="s">
        <v>1023</v>
      </c>
      <c r="J882" t="s">
        <v>1022</v>
      </c>
      <c r="K882" t="s">
        <v>1025</v>
      </c>
      <c r="L882">
        <v>11</v>
      </c>
      <c r="M882">
        <v>15</v>
      </c>
      <c r="N882">
        <v>8450000</v>
      </c>
      <c r="O882">
        <f>PropertyData[[#This Row],[Price]]/PropertyData[[#This Row],[Area_sqft]]</f>
        <v>6490.0153609831032</v>
      </c>
      <c r="P882" t="str">
        <f t="shared" si="13"/>
        <v>Mid-Range</v>
      </c>
    </row>
    <row r="883" spans="1:16">
      <c r="A883" t="s">
        <v>895</v>
      </c>
      <c r="B883" t="s">
        <v>1015</v>
      </c>
      <c r="C883">
        <v>1075</v>
      </c>
      <c r="D883">
        <v>2</v>
      </c>
      <c r="E883">
        <v>2</v>
      </c>
      <c r="F883">
        <v>17</v>
      </c>
      <c r="G883" t="s">
        <v>1022</v>
      </c>
      <c r="H883" t="s">
        <v>1022</v>
      </c>
      <c r="I883" t="s">
        <v>1022</v>
      </c>
      <c r="J883" t="s">
        <v>1022</v>
      </c>
      <c r="K883" t="s">
        <v>1024</v>
      </c>
      <c r="L883">
        <v>15</v>
      </c>
      <c r="M883">
        <v>24</v>
      </c>
      <c r="N883">
        <v>5000000</v>
      </c>
      <c r="O883">
        <f>PropertyData[[#This Row],[Price]]/PropertyData[[#This Row],[Area_sqft]]</f>
        <v>4651.1627906976746</v>
      </c>
      <c r="P883" t="str">
        <f t="shared" si="13"/>
        <v>Mid-Range</v>
      </c>
    </row>
    <row r="884" spans="1:16">
      <c r="A884" t="s">
        <v>896</v>
      </c>
      <c r="B884" t="s">
        <v>1018</v>
      </c>
      <c r="C884">
        <v>1235</v>
      </c>
      <c r="D884">
        <v>3</v>
      </c>
      <c r="E884">
        <v>3</v>
      </c>
      <c r="F884">
        <v>21</v>
      </c>
      <c r="G884" t="s">
        <v>1022</v>
      </c>
      <c r="H884" t="s">
        <v>1022</v>
      </c>
      <c r="I884" t="s">
        <v>1023</v>
      </c>
      <c r="J884" t="s">
        <v>1022</v>
      </c>
      <c r="K884" t="s">
        <v>1024</v>
      </c>
      <c r="L884">
        <v>9</v>
      </c>
      <c r="M884">
        <v>22</v>
      </c>
      <c r="N884">
        <v>6900000</v>
      </c>
      <c r="O884">
        <f>PropertyData[[#This Row],[Price]]/PropertyData[[#This Row],[Area_sqft]]</f>
        <v>5587.0445344129557</v>
      </c>
      <c r="P884" t="str">
        <f t="shared" si="13"/>
        <v>Mid-Range</v>
      </c>
    </row>
    <row r="885" spans="1:16">
      <c r="A885" t="s">
        <v>897</v>
      </c>
      <c r="B885" t="s">
        <v>1014</v>
      </c>
      <c r="C885">
        <v>455</v>
      </c>
      <c r="D885">
        <v>1</v>
      </c>
      <c r="E885">
        <v>1</v>
      </c>
      <c r="F885">
        <v>8</v>
      </c>
      <c r="G885" t="s">
        <v>1023</v>
      </c>
      <c r="H885" t="s">
        <v>1022</v>
      </c>
      <c r="I885" t="s">
        <v>1023</v>
      </c>
      <c r="J885" t="s">
        <v>1022</v>
      </c>
      <c r="K885" t="s">
        <v>1024</v>
      </c>
      <c r="L885">
        <v>6</v>
      </c>
      <c r="M885">
        <v>18</v>
      </c>
      <c r="N885">
        <v>3750000</v>
      </c>
      <c r="O885">
        <f>PropertyData[[#This Row],[Price]]/PropertyData[[#This Row],[Area_sqft]]</f>
        <v>8241.7582417582416</v>
      </c>
      <c r="P885" t="str">
        <f t="shared" si="13"/>
        <v>Budget</v>
      </c>
    </row>
    <row r="886" spans="1:16">
      <c r="A886" t="s">
        <v>898</v>
      </c>
      <c r="B886" t="s">
        <v>1019</v>
      </c>
      <c r="C886">
        <v>1316</v>
      </c>
      <c r="D886">
        <v>3</v>
      </c>
      <c r="E886">
        <v>3</v>
      </c>
      <c r="F886">
        <v>29</v>
      </c>
      <c r="G886" t="s">
        <v>1023</v>
      </c>
      <c r="H886" t="s">
        <v>1023</v>
      </c>
      <c r="I886" t="s">
        <v>1022</v>
      </c>
      <c r="J886" t="s">
        <v>1023</v>
      </c>
      <c r="K886" t="s">
        <v>1026</v>
      </c>
      <c r="L886">
        <v>6</v>
      </c>
      <c r="M886">
        <v>11</v>
      </c>
      <c r="N886">
        <v>12500000</v>
      </c>
      <c r="O886">
        <f>PropertyData[[#This Row],[Price]]/PropertyData[[#This Row],[Area_sqft]]</f>
        <v>9498.4802431610951</v>
      </c>
      <c r="P886" t="str">
        <f t="shared" si="13"/>
        <v>Premium</v>
      </c>
    </row>
    <row r="887" spans="1:16">
      <c r="A887" t="s">
        <v>899</v>
      </c>
      <c r="B887" t="s">
        <v>1018</v>
      </c>
      <c r="C887">
        <v>817</v>
      </c>
      <c r="D887">
        <v>1</v>
      </c>
      <c r="E887">
        <v>1</v>
      </c>
      <c r="F887">
        <v>27</v>
      </c>
      <c r="G887" t="s">
        <v>1022</v>
      </c>
      <c r="H887" t="s">
        <v>1023</v>
      </c>
      <c r="I887" t="s">
        <v>1023</v>
      </c>
      <c r="J887" t="s">
        <v>1022</v>
      </c>
      <c r="K887" t="s">
        <v>1026</v>
      </c>
      <c r="L887">
        <v>1</v>
      </c>
      <c r="M887">
        <v>4</v>
      </c>
      <c r="N887">
        <v>4850000</v>
      </c>
      <c r="O887">
        <f>PropertyData[[#This Row],[Price]]/PropertyData[[#This Row],[Area_sqft]]</f>
        <v>5936.3525091799265</v>
      </c>
      <c r="P887" t="str">
        <f t="shared" si="13"/>
        <v>Budget</v>
      </c>
    </row>
    <row r="888" spans="1:16">
      <c r="A888" t="s">
        <v>900</v>
      </c>
      <c r="B888" t="s">
        <v>1014</v>
      </c>
      <c r="C888">
        <v>1709</v>
      </c>
      <c r="D888">
        <v>4</v>
      </c>
      <c r="E888">
        <v>4</v>
      </c>
      <c r="F888">
        <v>19</v>
      </c>
      <c r="G888" t="s">
        <v>1022</v>
      </c>
      <c r="H888" t="s">
        <v>1022</v>
      </c>
      <c r="I888" t="s">
        <v>1023</v>
      </c>
      <c r="J888" t="s">
        <v>1022</v>
      </c>
      <c r="K888" t="s">
        <v>1026</v>
      </c>
      <c r="L888">
        <v>14</v>
      </c>
      <c r="M888">
        <v>15</v>
      </c>
      <c r="N888">
        <v>13650000</v>
      </c>
      <c r="O888">
        <f>PropertyData[[#This Row],[Price]]/PropertyData[[#This Row],[Area_sqft]]</f>
        <v>7987.1269748390869</v>
      </c>
      <c r="P888" t="str">
        <f t="shared" si="13"/>
        <v>Premium</v>
      </c>
    </row>
    <row r="889" spans="1:16">
      <c r="A889" t="s">
        <v>901</v>
      </c>
      <c r="B889" t="s">
        <v>1020</v>
      </c>
      <c r="C889">
        <v>2156</v>
      </c>
      <c r="D889">
        <v>5</v>
      </c>
      <c r="E889">
        <v>5</v>
      </c>
      <c r="F889">
        <v>8</v>
      </c>
      <c r="G889" t="s">
        <v>1022</v>
      </c>
      <c r="H889" t="s">
        <v>1023</v>
      </c>
      <c r="I889" t="s">
        <v>1023</v>
      </c>
      <c r="J889" t="s">
        <v>1023</v>
      </c>
      <c r="K889" t="s">
        <v>1025</v>
      </c>
      <c r="L889">
        <v>16</v>
      </c>
      <c r="M889">
        <v>17</v>
      </c>
      <c r="N889">
        <v>14400000</v>
      </c>
      <c r="O889">
        <f>PropertyData[[#This Row],[Price]]/PropertyData[[#This Row],[Area_sqft]]</f>
        <v>6679.0352504638222</v>
      </c>
      <c r="P889" t="str">
        <f t="shared" si="13"/>
        <v>Premium</v>
      </c>
    </row>
    <row r="890" spans="1:16">
      <c r="A890" t="s">
        <v>902</v>
      </c>
      <c r="B890" t="s">
        <v>1019</v>
      </c>
      <c r="C890">
        <v>1076</v>
      </c>
      <c r="D890">
        <v>2</v>
      </c>
      <c r="E890">
        <v>2</v>
      </c>
      <c r="F890">
        <v>0</v>
      </c>
      <c r="G890" t="s">
        <v>1022</v>
      </c>
      <c r="H890" t="s">
        <v>1023</v>
      </c>
      <c r="I890" t="s">
        <v>1022</v>
      </c>
      <c r="J890" t="s">
        <v>1022</v>
      </c>
      <c r="K890" t="s">
        <v>1024</v>
      </c>
      <c r="L890">
        <v>5</v>
      </c>
      <c r="M890">
        <v>14</v>
      </c>
      <c r="N890">
        <v>10500000</v>
      </c>
      <c r="O890">
        <f>PropertyData[[#This Row],[Price]]/PropertyData[[#This Row],[Area_sqft]]</f>
        <v>9758.3643122676585</v>
      </c>
      <c r="P890" t="str">
        <f t="shared" si="13"/>
        <v>Premium</v>
      </c>
    </row>
    <row r="891" spans="1:16">
      <c r="A891" t="s">
        <v>903</v>
      </c>
      <c r="B891" t="s">
        <v>1016</v>
      </c>
      <c r="C891">
        <v>1740</v>
      </c>
      <c r="D891">
        <v>4</v>
      </c>
      <c r="E891">
        <v>4</v>
      </c>
      <c r="F891">
        <v>3</v>
      </c>
      <c r="G891" t="s">
        <v>1022</v>
      </c>
      <c r="H891" t="s">
        <v>1022</v>
      </c>
      <c r="I891" t="s">
        <v>1023</v>
      </c>
      <c r="J891" t="s">
        <v>1023</v>
      </c>
      <c r="K891" t="s">
        <v>1025</v>
      </c>
      <c r="L891">
        <v>20</v>
      </c>
      <c r="M891">
        <v>23</v>
      </c>
      <c r="N891">
        <v>9300000</v>
      </c>
      <c r="O891">
        <f>PropertyData[[#This Row],[Price]]/PropertyData[[#This Row],[Area_sqft]]</f>
        <v>5344.8275862068967</v>
      </c>
      <c r="P891" t="str">
        <f t="shared" si="13"/>
        <v>Mid-Range</v>
      </c>
    </row>
    <row r="892" spans="1:16">
      <c r="A892" t="s">
        <v>904</v>
      </c>
      <c r="B892" t="s">
        <v>1019</v>
      </c>
      <c r="C892">
        <v>1460</v>
      </c>
      <c r="D892">
        <v>3</v>
      </c>
      <c r="E892">
        <v>3</v>
      </c>
      <c r="F892">
        <v>12</v>
      </c>
      <c r="G892" t="s">
        <v>1022</v>
      </c>
      <c r="H892" t="s">
        <v>1023</v>
      </c>
      <c r="I892" t="s">
        <v>1023</v>
      </c>
      <c r="J892" t="s">
        <v>1023</v>
      </c>
      <c r="K892" t="s">
        <v>1025</v>
      </c>
      <c r="L892">
        <v>15</v>
      </c>
      <c r="M892">
        <v>21</v>
      </c>
      <c r="N892">
        <v>9900000</v>
      </c>
      <c r="O892">
        <f>PropertyData[[#This Row],[Price]]/PropertyData[[#This Row],[Area_sqft]]</f>
        <v>6780.821917808219</v>
      </c>
      <c r="P892" t="str">
        <f t="shared" si="13"/>
        <v>Mid-Range</v>
      </c>
    </row>
    <row r="893" spans="1:16">
      <c r="A893" t="s">
        <v>905</v>
      </c>
      <c r="B893" t="s">
        <v>1017</v>
      </c>
      <c r="C893">
        <v>840</v>
      </c>
      <c r="D893">
        <v>2</v>
      </c>
      <c r="E893">
        <v>1</v>
      </c>
      <c r="F893">
        <v>19</v>
      </c>
      <c r="G893" t="s">
        <v>1022</v>
      </c>
      <c r="H893" t="s">
        <v>1022</v>
      </c>
      <c r="I893" t="s">
        <v>1023</v>
      </c>
      <c r="J893" t="s">
        <v>1023</v>
      </c>
      <c r="K893" t="s">
        <v>1026</v>
      </c>
      <c r="L893">
        <v>3</v>
      </c>
      <c r="M893">
        <v>6</v>
      </c>
      <c r="N893">
        <v>3400000</v>
      </c>
      <c r="O893">
        <f>PropertyData[[#This Row],[Price]]/PropertyData[[#This Row],[Area_sqft]]</f>
        <v>4047.6190476190477</v>
      </c>
      <c r="P893" t="str">
        <f t="shared" si="13"/>
        <v>Budget</v>
      </c>
    </row>
    <row r="894" spans="1:16">
      <c r="A894" t="s">
        <v>906</v>
      </c>
      <c r="B894" t="s">
        <v>1015</v>
      </c>
      <c r="C894">
        <v>1368</v>
      </c>
      <c r="D894">
        <v>3</v>
      </c>
      <c r="E894">
        <v>3</v>
      </c>
      <c r="F894">
        <v>21</v>
      </c>
      <c r="G894" t="s">
        <v>1022</v>
      </c>
      <c r="H894" t="s">
        <v>1022</v>
      </c>
      <c r="I894" t="s">
        <v>1023</v>
      </c>
      <c r="J894" t="s">
        <v>1022</v>
      </c>
      <c r="K894" t="s">
        <v>1025</v>
      </c>
      <c r="L894">
        <v>15</v>
      </c>
      <c r="M894">
        <v>19</v>
      </c>
      <c r="N894">
        <v>4550000</v>
      </c>
      <c r="O894">
        <f>PropertyData[[#This Row],[Price]]/PropertyData[[#This Row],[Area_sqft]]</f>
        <v>3326.0233918128656</v>
      </c>
      <c r="P894" t="str">
        <f t="shared" si="13"/>
        <v>Budget</v>
      </c>
    </row>
    <row r="895" spans="1:16">
      <c r="A895" t="s">
        <v>907</v>
      </c>
      <c r="B895" t="s">
        <v>1018</v>
      </c>
      <c r="C895">
        <v>1126</v>
      </c>
      <c r="D895">
        <v>2</v>
      </c>
      <c r="E895">
        <v>2</v>
      </c>
      <c r="F895">
        <v>30</v>
      </c>
      <c r="G895" t="s">
        <v>1023</v>
      </c>
      <c r="H895" t="s">
        <v>1022</v>
      </c>
      <c r="I895" t="s">
        <v>1023</v>
      </c>
      <c r="J895" t="s">
        <v>1023</v>
      </c>
      <c r="K895" t="s">
        <v>1025</v>
      </c>
      <c r="L895">
        <v>8</v>
      </c>
      <c r="M895">
        <v>23</v>
      </c>
      <c r="N895">
        <v>4600000</v>
      </c>
      <c r="O895">
        <f>PropertyData[[#This Row],[Price]]/PropertyData[[#This Row],[Area_sqft]]</f>
        <v>4085.2575488454709</v>
      </c>
      <c r="P895" t="str">
        <f t="shared" si="13"/>
        <v>Budget</v>
      </c>
    </row>
    <row r="896" spans="1:16">
      <c r="A896" t="s">
        <v>908</v>
      </c>
      <c r="B896" t="s">
        <v>1019</v>
      </c>
      <c r="C896">
        <v>450</v>
      </c>
      <c r="D896">
        <v>1</v>
      </c>
      <c r="E896">
        <v>1</v>
      </c>
      <c r="F896">
        <v>26</v>
      </c>
      <c r="G896" t="s">
        <v>1022</v>
      </c>
      <c r="H896" t="s">
        <v>1023</v>
      </c>
      <c r="I896" t="s">
        <v>1023</v>
      </c>
      <c r="J896" t="s">
        <v>1023</v>
      </c>
      <c r="K896" t="s">
        <v>1025</v>
      </c>
      <c r="L896">
        <v>7</v>
      </c>
      <c r="M896">
        <v>11</v>
      </c>
      <c r="N896">
        <v>2500000</v>
      </c>
      <c r="O896">
        <f>PropertyData[[#This Row],[Price]]/PropertyData[[#This Row],[Area_sqft]]</f>
        <v>5555.5555555555557</v>
      </c>
      <c r="P896" t="str">
        <f t="shared" si="13"/>
        <v>Budget</v>
      </c>
    </row>
    <row r="897" spans="1:16">
      <c r="A897" t="s">
        <v>909</v>
      </c>
      <c r="B897" t="s">
        <v>1014</v>
      </c>
      <c r="C897">
        <v>1520</v>
      </c>
      <c r="D897">
        <v>3</v>
      </c>
      <c r="E897">
        <v>3</v>
      </c>
      <c r="F897">
        <v>13</v>
      </c>
      <c r="G897" t="s">
        <v>1022</v>
      </c>
      <c r="H897" t="s">
        <v>1022</v>
      </c>
      <c r="I897" t="s">
        <v>1023</v>
      </c>
      <c r="J897" t="s">
        <v>1022</v>
      </c>
      <c r="K897" t="s">
        <v>1026</v>
      </c>
      <c r="L897">
        <v>13</v>
      </c>
      <c r="M897">
        <v>23</v>
      </c>
      <c r="N897">
        <v>13100000</v>
      </c>
      <c r="O897">
        <f>PropertyData[[#This Row],[Price]]/PropertyData[[#This Row],[Area_sqft]]</f>
        <v>8618.4210526315783</v>
      </c>
      <c r="P897" t="str">
        <f t="shared" si="13"/>
        <v>Premium</v>
      </c>
    </row>
    <row r="898" spans="1:16">
      <c r="A898" t="s">
        <v>910</v>
      </c>
      <c r="B898" t="s">
        <v>1020</v>
      </c>
      <c r="C898">
        <v>862</v>
      </c>
      <c r="D898">
        <v>2</v>
      </c>
      <c r="E898">
        <v>1</v>
      </c>
      <c r="F898">
        <v>8</v>
      </c>
      <c r="G898" t="s">
        <v>1022</v>
      </c>
      <c r="H898" t="s">
        <v>1022</v>
      </c>
      <c r="I898" t="s">
        <v>1022</v>
      </c>
      <c r="J898" t="s">
        <v>1022</v>
      </c>
      <c r="K898" t="s">
        <v>1024</v>
      </c>
      <c r="L898">
        <v>7</v>
      </c>
      <c r="M898">
        <v>18</v>
      </c>
      <c r="N898">
        <v>5600000</v>
      </c>
      <c r="O898">
        <f>PropertyData[[#This Row],[Price]]/PropertyData[[#This Row],[Area_sqft]]</f>
        <v>6496.5197215777262</v>
      </c>
      <c r="P898" t="str">
        <f t="shared" ref="P898:P961" si="14">IF(N898&lt;5000000,"Budget",IF(N898&lt;=10000000,"Mid-Range","Premium"))</f>
        <v>Mid-Range</v>
      </c>
    </row>
    <row r="899" spans="1:16">
      <c r="A899" t="s">
        <v>911</v>
      </c>
      <c r="B899" t="s">
        <v>1014</v>
      </c>
      <c r="C899">
        <v>1271</v>
      </c>
      <c r="D899">
        <v>3</v>
      </c>
      <c r="E899">
        <v>2</v>
      </c>
      <c r="F899">
        <v>21</v>
      </c>
      <c r="G899" t="s">
        <v>1022</v>
      </c>
      <c r="H899" t="s">
        <v>1022</v>
      </c>
      <c r="I899" t="s">
        <v>1023</v>
      </c>
      <c r="J899" t="s">
        <v>1022</v>
      </c>
      <c r="K899" t="s">
        <v>1026</v>
      </c>
      <c r="L899">
        <v>10</v>
      </c>
      <c r="M899">
        <v>11</v>
      </c>
      <c r="N899">
        <v>12450000</v>
      </c>
      <c r="O899">
        <f>PropertyData[[#This Row],[Price]]/PropertyData[[#This Row],[Area_sqft]]</f>
        <v>9795.4366640440603</v>
      </c>
      <c r="P899" t="str">
        <f t="shared" si="14"/>
        <v>Premium</v>
      </c>
    </row>
    <row r="900" spans="1:16">
      <c r="A900" t="s">
        <v>912</v>
      </c>
      <c r="B900" t="s">
        <v>1019</v>
      </c>
      <c r="C900">
        <v>2067</v>
      </c>
      <c r="D900">
        <v>4</v>
      </c>
      <c r="E900">
        <v>5</v>
      </c>
      <c r="F900">
        <v>24</v>
      </c>
      <c r="G900" t="s">
        <v>1022</v>
      </c>
      <c r="H900" t="s">
        <v>1022</v>
      </c>
      <c r="I900" t="s">
        <v>1022</v>
      </c>
      <c r="J900" t="s">
        <v>1022</v>
      </c>
      <c r="K900" t="s">
        <v>1025</v>
      </c>
      <c r="L900">
        <v>16</v>
      </c>
      <c r="M900">
        <v>20</v>
      </c>
      <c r="N900">
        <v>15050000</v>
      </c>
      <c r="O900">
        <f>PropertyData[[#This Row],[Price]]/PropertyData[[#This Row],[Area_sqft]]</f>
        <v>7281.083696178036</v>
      </c>
      <c r="P900" t="str">
        <f t="shared" si="14"/>
        <v>Premium</v>
      </c>
    </row>
    <row r="901" spans="1:16">
      <c r="A901" t="s">
        <v>913</v>
      </c>
      <c r="B901" t="s">
        <v>1021</v>
      </c>
      <c r="C901">
        <v>1398</v>
      </c>
      <c r="D901">
        <v>3</v>
      </c>
      <c r="E901">
        <v>2</v>
      </c>
      <c r="F901">
        <v>6</v>
      </c>
      <c r="G901" t="s">
        <v>1022</v>
      </c>
      <c r="H901" t="s">
        <v>1023</v>
      </c>
      <c r="I901" t="s">
        <v>1023</v>
      </c>
      <c r="J901" t="s">
        <v>1023</v>
      </c>
      <c r="K901" t="s">
        <v>1024</v>
      </c>
      <c r="L901">
        <v>14</v>
      </c>
      <c r="M901">
        <v>22</v>
      </c>
      <c r="N901">
        <v>8800000</v>
      </c>
      <c r="O901">
        <f>PropertyData[[#This Row],[Price]]/PropertyData[[#This Row],[Area_sqft]]</f>
        <v>6294.7067238912732</v>
      </c>
      <c r="P901" t="str">
        <f t="shared" si="14"/>
        <v>Mid-Range</v>
      </c>
    </row>
    <row r="902" spans="1:16">
      <c r="A902" t="s">
        <v>914</v>
      </c>
      <c r="B902" t="s">
        <v>1016</v>
      </c>
      <c r="C902">
        <v>851</v>
      </c>
      <c r="D902">
        <v>2</v>
      </c>
      <c r="E902">
        <v>2</v>
      </c>
      <c r="F902">
        <v>28</v>
      </c>
      <c r="G902" t="s">
        <v>1023</v>
      </c>
      <c r="H902" t="s">
        <v>1022</v>
      </c>
      <c r="I902" t="s">
        <v>1023</v>
      </c>
      <c r="J902" t="s">
        <v>1022</v>
      </c>
      <c r="K902" t="s">
        <v>1025</v>
      </c>
      <c r="L902">
        <v>8</v>
      </c>
      <c r="M902">
        <v>8</v>
      </c>
      <c r="N902">
        <v>3450000</v>
      </c>
      <c r="O902">
        <f>PropertyData[[#This Row],[Price]]/PropertyData[[#This Row],[Area_sqft]]</f>
        <v>4054.0540540540542</v>
      </c>
      <c r="P902" t="str">
        <f t="shared" si="14"/>
        <v>Budget</v>
      </c>
    </row>
    <row r="903" spans="1:16">
      <c r="A903" t="s">
        <v>915</v>
      </c>
      <c r="B903" t="s">
        <v>1014</v>
      </c>
      <c r="C903">
        <v>1160</v>
      </c>
      <c r="D903">
        <v>3</v>
      </c>
      <c r="E903">
        <v>4</v>
      </c>
      <c r="F903">
        <v>17</v>
      </c>
      <c r="G903" t="s">
        <v>1022</v>
      </c>
      <c r="H903" t="s">
        <v>1022</v>
      </c>
      <c r="I903" t="s">
        <v>1023</v>
      </c>
      <c r="J903" t="s">
        <v>1022</v>
      </c>
      <c r="K903" t="s">
        <v>1026</v>
      </c>
      <c r="L903">
        <v>19</v>
      </c>
      <c r="M903">
        <v>19</v>
      </c>
      <c r="N903">
        <v>10700000</v>
      </c>
      <c r="O903">
        <f>PropertyData[[#This Row],[Price]]/PropertyData[[#This Row],[Area_sqft]]</f>
        <v>9224.1379310344819</v>
      </c>
      <c r="P903" t="str">
        <f t="shared" si="14"/>
        <v>Premium</v>
      </c>
    </row>
    <row r="904" spans="1:16">
      <c r="A904" t="s">
        <v>916</v>
      </c>
      <c r="B904" t="s">
        <v>1017</v>
      </c>
      <c r="C904">
        <v>1377</v>
      </c>
      <c r="D904">
        <v>3</v>
      </c>
      <c r="E904">
        <v>2</v>
      </c>
      <c r="F904">
        <v>28</v>
      </c>
      <c r="G904" t="s">
        <v>1022</v>
      </c>
      <c r="H904" t="s">
        <v>1022</v>
      </c>
      <c r="I904" t="s">
        <v>1023</v>
      </c>
      <c r="J904" t="s">
        <v>1022</v>
      </c>
      <c r="K904" t="s">
        <v>1025</v>
      </c>
      <c r="L904">
        <v>10</v>
      </c>
      <c r="M904">
        <v>19</v>
      </c>
      <c r="N904">
        <v>3950000</v>
      </c>
      <c r="O904">
        <f>PropertyData[[#This Row],[Price]]/PropertyData[[#This Row],[Area_sqft]]</f>
        <v>2868.554829339143</v>
      </c>
      <c r="P904" t="str">
        <f t="shared" si="14"/>
        <v>Budget</v>
      </c>
    </row>
    <row r="905" spans="1:16">
      <c r="A905" t="s">
        <v>917</v>
      </c>
      <c r="B905" t="s">
        <v>1019</v>
      </c>
      <c r="C905">
        <v>854</v>
      </c>
      <c r="D905">
        <v>2</v>
      </c>
      <c r="E905">
        <v>1</v>
      </c>
      <c r="F905">
        <v>13</v>
      </c>
      <c r="G905" t="s">
        <v>1022</v>
      </c>
      <c r="H905" t="s">
        <v>1022</v>
      </c>
      <c r="I905" t="s">
        <v>1022</v>
      </c>
      <c r="J905" t="s">
        <v>1023</v>
      </c>
      <c r="K905" t="s">
        <v>1024</v>
      </c>
      <c r="L905">
        <v>9</v>
      </c>
      <c r="M905">
        <v>16</v>
      </c>
      <c r="N905">
        <v>8000000</v>
      </c>
      <c r="O905">
        <f>PropertyData[[#This Row],[Price]]/PropertyData[[#This Row],[Area_sqft]]</f>
        <v>9367.6814988290407</v>
      </c>
      <c r="P905" t="str">
        <f t="shared" si="14"/>
        <v>Mid-Range</v>
      </c>
    </row>
    <row r="906" spans="1:16">
      <c r="A906" t="s">
        <v>918</v>
      </c>
      <c r="B906" t="s">
        <v>1018</v>
      </c>
      <c r="C906">
        <v>1029</v>
      </c>
      <c r="D906">
        <v>3</v>
      </c>
      <c r="E906">
        <v>2</v>
      </c>
      <c r="F906">
        <v>25</v>
      </c>
      <c r="G906" t="s">
        <v>1022</v>
      </c>
      <c r="H906" t="s">
        <v>1023</v>
      </c>
      <c r="I906" t="s">
        <v>1023</v>
      </c>
      <c r="J906" t="s">
        <v>1022</v>
      </c>
      <c r="K906" t="s">
        <v>1025</v>
      </c>
      <c r="L906">
        <v>12</v>
      </c>
      <c r="M906">
        <v>14</v>
      </c>
      <c r="N906">
        <v>4800000</v>
      </c>
      <c r="O906">
        <f>PropertyData[[#This Row],[Price]]/PropertyData[[#This Row],[Area_sqft]]</f>
        <v>4664.7230320699709</v>
      </c>
      <c r="P906" t="str">
        <f t="shared" si="14"/>
        <v>Budget</v>
      </c>
    </row>
    <row r="907" spans="1:16">
      <c r="A907" t="s">
        <v>919</v>
      </c>
      <c r="B907" t="s">
        <v>1015</v>
      </c>
      <c r="C907">
        <v>1490</v>
      </c>
      <c r="D907">
        <v>3</v>
      </c>
      <c r="E907">
        <v>4</v>
      </c>
      <c r="F907">
        <v>9</v>
      </c>
      <c r="G907" t="s">
        <v>1022</v>
      </c>
      <c r="H907" t="s">
        <v>1022</v>
      </c>
      <c r="I907" t="s">
        <v>1023</v>
      </c>
      <c r="J907" t="s">
        <v>1022</v>
      </c>
      <c r="K907" t="s">
        <v>1025</v>
      </c>
      <c r="L907">
        <v>11</v>
      </c>
      <c r="M907">
        <v>19</v>
      </c>
      <c r="N907">
        <v>5700000</v>
      </c>
      <c r="O907">
        <f>PropertyData[[#This Row],[Price]]/PropertyData[[#This Row],[Area_sqft]]</f>
        <v>3825.5033557046982</v>
      </c>
      <c r="P907" t="str">
        <f t="shared" si="14"/>
        <v>Mid-Range</v>
      </c>
    </row>
    <row r="908" spans="1:16">
      <c r="A908" t="s">
        <v>920</v>
      </c>
      <c r="B908" t="s">
        <v>1015</v>
      </c>
      <c r="C908">
        <v>544</v>
      </c>
      <c r="D908">
        <v>2</v>
      </c>
      <c r="E908">
        <v>2</v>
      </c>
      <c r="F908">
        <v>4</v>
      </c>
      <c r="G908" t="s">
        <v>1022</v>
      </c>
      <c r="H908" t="s">
        <v>1023</v>
      </c>
      <c r="I908" t="s">
        <v>1022</v>
      </c>
      <c r="J908" t="s">
        <v>1022</v>
      </c>
      <c r="K908" t="s">
        <v>1025</v>
      </c>
      <c r="L908">
        <v>7</v>
      </c>
      <c r="M908">
        <v>20</v>
      </c>
      <c r="N908">
        <v>2200000</v>
      </c>
      <c r="O908">
        <f>PropertyData[[#This Row],[Price]]/PropertyData[[#This Row],[Area_sqft]]</f>
        <v>4044.1176470588234</v>
      </c>
      <c r="P908" t="str">
        <f t="shared" si="14"/>
        <v>Budget</v>
      </c>
    </row>
    <row r="909" spans="1:16">
      <c r="A909" t="s">
        <v>921</v>
      </c>
      <c r="B909" t="s">
        <v>1017</v>
      </c>
      <c r="C909">
        <v>1003</v>
      </c>
      <c r="D909">
        <v>2</v>
      </c>
      <c r="E909">
        <v>2</v>
      </c>
      <c r="F909">
        <v>11</v>
      </c>
      <c r="G909" t="s">
        <v>1022</v>
      </c>
      <c r="H909" t="s">
        <v>1022</v>
      </c>
      <c r="I909" t="s">
        <v>1023</v>
      </c>
      <c r="J909" t="s">
        <v>1022</v>
      </c>
      <c r="K909" t="s">
        <v>1025</v>
      </c>
      <c r="L909">
        <v>3</v>
      </c>
      <c r="M909">
        <v>5</v>
      </c>
      <c r="N909">
        <v>3700000</v>
      </c>
      <c r="O909">
        <f>PropertyData[[#This Row],[Price]]/PropertyData[[#This Row],[Area_sqft]]</f>
        <v>3688.9332003988034</v>
      </c>
      <c r="P909" t="str">
        <f t="shared" si="14"/>
        <v>Budget</v>
      </c>
    </row>
    <row r="910" spans="1:16">
      <c r="A910" t="s">
        <v>922</v>
      </c>
      <c r="B910" t="s">
        <v>1015</v>
      </c>
      <c r="C910">
        <v>1837</v>
      </c>
      <c r="D910">
        <v>4</v>
      </c>
      <c r="E910">
        <v>4</v>
      </c>
      <c r="F910">
        <v>19</v>
      </c>
      <c r="G910" t="s">
        <v>1022</v>
      </c>
      <c r="H910" t="s">
        <v>1022</v>
      </c>
      <c r="I910" t="s">
        <v>1023</v>
      </c>
      <c r="J910" t="s">
        <v>1022</v>
      </c>
      <c r="K910" t="s">
        <v>1025</v>
      </c>
      <c r="L910">
        <v>9</v>
      </c>
      <c r="M910">
        <v>24</v>
      </c>
      <c r="N910">
        <v>5700000</v>
      </c>
      <c r="O910">
        <f>PropertyData[[#This Row],[Price]]/PropertyData[[#This Row],[Area_sqft]]</f>
        <v>3102.8851388132825</v>
      </c>
      <c r="P910" t="str">
        <f t="shared" si="14"/>
        <v>Mid-Range</v>
      </c>
    </row>
    <row r="911" spans="1:16">
      <c r="A911" t="s">
        <v>923</v>
      </c>
      <c r="B911" t="s">
        <v>1019</v>
      </c>
      <c r="C911">
        <v>1053</v>
      </c>
      <c r="D911">
        <v>1</v>
      </c>
      <c r="E911">
        <v>1</v>
      </c>
      <c r="F911">
        <v>8</v>
      </c>
      <c r="G911" t="s">
        <v>1022</v>
      </c>
      <c r="H911" t="s">
        <v>1023</v>
      </c>
      <c r="I911" t="s">
        <v>1023</v>
      </c>
      <c r="J911" t="s">
        <v>1022</v>
      </c>
      <c r="K911" t="s">
        <v>1025</v>
      </c>
      <c r="L911">
        <v>2</v>
      </c>
      <c r="M911">
        <v>9</v>
      </c>
      <c r="N911">
        <v>8450000</v>
      </c>
      <c r="O911">
        <f>PropertyData[[#This Row],[Price]]/PropertyData[[#This Row],[Area_sqft]]</f>
        <v>8024.691358024691</v>
      </c>
      <c r="P911" t="str">
        <f t="shared" si="14"/>
        <v>Mid-Range</v>
      </c>
    </row>
    <row r="912" spans="1:16">
      <c r="A912" t="s">
        <v>924</v>
      </c>
      <c r="B912" t="s">
        <v>1020</v>
      </c>
      <c r="C912">
        <v>1517</v>
      </c>
      <c r="D912">
        <v>3</v>
      </c>
      <c r="E912">
        <v>4</v>
      </c>
      <c r="F912">
        <v>1</v>
      </c>
      <c r="G912" t="s">
        <v>1023</v>
      </c>
      <c r="H912" t="s">
        <v>1023</v>
      </c>
      <c r="I912" t="s">
        <v>1023</v>
      </c>
      <c r="J912" t="s">
        <v>1023</v>
      </c>
      <c r="K912" t="s">
        <v>1024</v>
      </c>
      <c r="L912">
        <v>11</v>
      </c>
      <c r="M912">
        <v>18</v>
      </c>
      <c r="N912">
        <v>11150000</v>
      </c>
      <c r="O912">
        <f>PropertyData[[#This Row],[Price]]/PropertyData[[#This Row],[Area_sqft]]</f>
        <v>7350.0329597890577</v>
      </c>
      <c r="P912" t="str">
        <f t="shared" si="14"/>
        <v>Premium</v>
      </c>
    </row>
    <row r="913" spans="1:16">
      <c r="A913" t="s">
        <v>925</v>
      </c>
      <c r="B913" t="s">
        <v>1017</v>
      </c>
      <c r="C913">
        <v>1361</v>
      </c>
      <c r="D913">
        <v>3</v>
      </c>
      <c r="E913">
        <v>2</v>
      </c>
      <c r="F913">
        <v>18</v>
      </c>
      <c r="G913" t="s">
        <v>1022</v>
      </c>
      <c r="H913" t="s">
        <v>1023</v>
      </c>
      <c r="I913" t="s">
        <v>1023</v>
      </c>
      <c r="J913" t="s">
        <v>1022</v>
      </c>
      <c r="K913" t="s">
        <v>1025</v>
      </c>
      <c r="L913">
        <v>17</v>
      </c>
      <c r="M913">
        <v>18</v>
      </c>
      <c r="N913">
        <v>5100000</v>
      </c>
      <c r="O913">
        <f>PropertyData[[#This Row],[Price]]/PropertyData[[#This Row],[Area_sqft]]</f>
        <v>3747.2446730345332</v>
      </c>
      <c r="P913" t="str">
        <f t="shared" si="14"/>
        <v>Mid-Range</v>
      </c>
    </row>
    <row r="914" spans="1:16">
      <c r="A914" t="s">
        <v>926</v>
      </c>
      <c r="B914" t="s">
        <v>1016</v>
      </c>
      <c r="C914">
        <v>1079</v>
      </c>
      <c r="D914">
        <v>2</v>
      </c>
      <c r="E914">
        <v>2</v>
      </c>
      <c r="F914">
        <v>15</v>
      </c>
      <c r="G914" t="s">
        <v>1022</v>
      </c>
      <c r="H914" t="s">
        <v>1023</v>
      </c>
      <c r="I914" t="s">
        <v>1023</v>
      </c>
      <c r="J914" t="s">
        <v>1023</v>
      </c>
      <c r="K914" t="s">
        <v>1024</v>
      </c>
      <c r="L914">
        <v>2</v>
      </c>
      <c r="M914">
        <v>11</v>
      </c>
      <c r="N914">
        <v>5700000</v>
      </c>
      <c r="O914">
        <f>PropertyData[[#This Row],[Price]]/PropertyData[[#This Row],[Area_sqft]]</f>
        <v>5282.6691380908251</v>
      </c>
      <c r="P914" t="str">
        <f t="shared" si="14"/>
        <v>Mid-Range</v>
      </c>
    </row>
    <row r="915" spans="1:16">
      <c r="A915" t="s">
        <v>927</v>
      </c>
      <c r="B915" t="s">
        <v>1017</v>
      </c>
      <c r="C915">
        <v>1435</v>
      </c>
      <c r="D915">
        <v>3</v>
      </c>
      <c r="E915">
        <v>3</v>
      </c>
      <c r="F915">
        <v>12</v>
      </c>
      <c r="G915" t="s">
        <v>1022</v>
      </c>
      <c r="H915" t="s">
        <v>1022</v>
      </c>
      <c r="I915" t="s">
        <v>1023</v>
      </c>
      <c r="J915" t="s">
        <v>1022</v>
      </c>
      <c r="K915" t="s">
        <v>1025</v>
      </c>
      <c r="L915">
        <v>3</v>
      </c>
      <c r="M915">
        <v>14</v>
      </c>
      <c r="N915">
        <v>5400000</v>
      </c>
      <c r="O915">
        <f>PropertyData[[#This Row],[Price]]/PropertyData[[#This Row],[Area_sqft]]</f>
        <v>3763.0662020905925</v>
      </c>
      <c r="P915" t="str">
        <f t="shared" si="14"/>
        <v>Mid-Range</v>
      </c>
    </row>
    <row r="916" spans="1:16">
      <c r="A916" t="s">
        <v>928</v>
      </c>
      <c r="B916" t="s">
        <v>1021</v>
      </c>
      <c r="C916">
        <v>885</v>
      </c>
      <c r="D916">
        <v>2</v>
      </c>
      <c r="E916">
        <v>2</v>
      </c>
      <c r="F916">
        <v>12</v>
      </c>
      <c r="G916" t="s">
        <v>1022</v>
      </c>
      <c r="H916" t="s">
        <v>1023</v>
      </c>
      <c r="I916" t="s">
        <v>1023</v>
      </c>
      <c r="J916" t="s">
        <v>1022</v>
      </c>
      <c r="K916" t="s">
        <v>1025</v>
      </c>
      <c r="L916">
        <v>1</v>
      </c>
      <c r="M916">
        <v>10</v>
      </c>
      <c r="N916">
        <v>5500000</v>
      </c>
      <c r="O916">
        <f>PropertyData[[#This Row],[Price]]/PropertyData[[#This Row],[Area_sqft]]</f>
        <v>6214.6892655367228</v>
      </c>
      <c r="P916" t="str">
        <f t="shared" si="14"/>
        <v>Mid-Range</v>
      </c>
    </row>
    <row r="917" spans="1:16">
      <c r="A917" t="s">
        <v>929</v>
      </c>
      <c r="B917" t="s">
        <v>1020</v>
      </c>
      <c r="C917">
        <v>1157</v>
      </c>
      <c r="D917">
        <v>2</v>
      </c>
      <c r="E917">
        <v>1</v>
      </c>
      <c r="F917">
        <v>9</v>
      </c>
      <c r="G917" t="s">
        <v>1023</v>
      </c>
      <c r="H917" t="s">
        <v>1023</v>
      </c>
      <c r="I917" t="s">
        <v>1023</v>
      </c>
      <c r="J917" t="s">
        <v>1022</v>
      </c>
      <c r="K917" t="s">
        <v>1025</v>
      </c>
      <c r="L917">
        <v>12</v>
      </c>
      <c r="M917">
        <v>18</v>
      </c>
      <c r="N917">
        <v>7750000</v>
      </c>
      <c r="O917">
        <f>PropertyData[[#This Row],[Price]]/PropertyData[[#This Row],[Area_sqft]]</f>
        <v>6698.3578219533274</v>
      </c>
      <c r="P917" t="str">
        <f t="shared" si="14"/>
        <v>Mid-Range</v>
      </c>
    </row>
    <row r="918" spans="1:16">
      <c r="A918" t="s">
        <v>930</v>
      </c>
      <c r="B918" t="s">
        <v>1018</v>
      </c>
      <c r="C918">
        <v>1289</v>
      </c>
      <c r="D918">
        <v>2</v>
      </c>
      <c r="E918">
        <v>2</v>
      </c>
      <c r="F918">
        <v>24</v>
      </c>
      <c r="G918" t="s">
        <v>1023</v>
      </c>
      <c r="H918" t="s">
        <v>1023</v>
      </c>
      <c r="I918" t="s">
        <v>1022</v>
      </c>
      <c r="J918" t="s">
        <v>1022</v>
      </c>
      <c r="K918" t="s">
        <v>1026</v>
      </c>
      <c r="L918">
        <v>7</v>
      </c>
      <c r="M918">
        <v>24</v>
      </c>
      <c r="N918">
        <v>7700000</v>
      </c>
      <c r="O918">
        <f>PropertyData[[#This Row],[Price]]/PropertyData[[#This Row],[Area_sqft]]</f>
        <v>5973.6229635376258</v>
      </c>
      <c r="P918" t="str">
        <f t="shared" si="14"/>
        <v>Mid-Range</v>
      </c>
    </row>
    <row r="919" spans="1:16">
      <c r="A919" t="s">
        <v>931</v>
      </c>
      <c r="B919" t="s">
        <v>1016</v>
      </c>
      <c r="C919">
        <v>1348</v>
      </c>
      <c r="D919">
        <v>3</v>
      </c>
      <c r="E919">
        <v>3</v>
      </c>
      <c r="F919">
        <v>19</v>
      </c>
      <c r="G919" t="s">
        <v>1022</v>
      </c>
      <c r="H919" t="s">
        <v>1023</v>
      </c>
      <c r="I919" t="s">
        <v>1023</v>
      </c>
      <c r="J919" t="s">
        <v>1022</v>
      </c>
      <c r="K919" t="s">
        <v>1025</v>
      </c>
      <c r="L919">
        <v>19</v>
      </c>
      <c r="M919">
        <v>22</v>
      </c>
      <c r="N919">
        <v>5500000</v>
      </c>
      <c r="O919">
        <f>PropertyData[[#This Row],[Price]]/PropertyData[[#This Row],[Area_sqft]]</f>
        <v>4080.1186943620178</v>
      </c>
      <c r="P919" t="str">
        <f t="shared" si="14"/>
        <v>Mid-Range</v>
      </c>
    </row>
    <row r="920" spans="1:16">
      <c r="A920" t="s">
        <v>932</v>
      </c>
      <c r="B920" t="s">
        <v>1017</v>
      </c>
      <c r="C920">
        <v>1128</v>
      </c>
      <c r="D920">
        <v>2</v>
      </c>
      <c r="E920">
        <v>2</v>
      </c>
      <c r="F920">
        <v>1</v>
      </c>
      <c r="G920" t="s">
        <v>1023</v>
      </c>
      <c r="H920" t="s">
        <v>1022</v>
      </c>
      <c r="I920" t="s">
        <v>1022</v>
      </c>
      <c r="J920" t="s">
        <v>1022</v>
      </c>
      <c r="K920" t="s">
        <v>1025</v>
      </c>
      <c r="L920">
        <v>10</v>
      </c>
      <c r="M920">
        <v>14</v>
      </c>
      <c r="N920">
        <v>4900000</v>
      </c>
      <c r="O920">
        <f>PropertyData[[#This Row],[Price]]/PropertyData[[#This Row],[Area_sqft]]</f>
        <v>4343.9716312056735</v>
      </c>
      <c r="P920" t="str">
        <f t="shared" si="14"/>
        <v>Budget</v>
      </c>
    </row>
    <row r="921" spans="1:16">
      <c r="A921" t="s">
        <v>933</v>
      </c>
      <c r="B921" t="s">
        <v>1015</v>
      </c>
      <c r="C921">
        <v>2379</v>
      </c>
      <c r="D921">
        <v>5</v>
      </c>
      <c r="E921">
        <v>5</v>
      </c>
      <c r="F921">
        <v>17</v>
      </c>
      <c r="G921" t="s">
        <v>1022</v>
      </c>
      <c r="H921" t="s">
        <v>1023</v>
      </c>
      <c r="I921" t="s">
        <v>1023</v>
      </c>
      <c r="J921" t="s">
        <v>1022</v>
      </c>
      <c r="K921" t="s">
        <v>1025</v>
      </c>
      <c r="L921">
        <v>20</v>
      </c>
      <c r="M921">
        <v>23</v>
      </c>
      <c r="N921">
        <v>6750000</v>
      </c>
      <c r="O921">
        <f>PropertyData[[#This Row],[Price]]/PropertyData[[#This Row],[Area_sqft]]</f>
        <v>2837.326607818411</v>
      </c>
      <c r="P921" t="str">
        <f t="shared" si="14"/>
        <v>Mid-Range</v>
      </c>
    </row>
    <row r="922" spans="1:16">
      <c r="A922" t="s">
        <v>934</v>
      </c>
      <c r="B922" t="s">
        <v>1020</v>
      </c>
      <c r="C922">
        <v>1693</v>
      </c>
      <c r="D922">
        <v>4</v>
      </c>
      <c r="E922">
        <v>4</v>
      </c>
      <c r="F922">
        <v>1</v>
      </c>
      <c r="G922" t="s">
        <v>1023</v>
      </c>
      <c r="H922" t="s">
        <v>1022</v>
      </c>
      <c r="I922" t="s">
        <v>1023</v>
      </c>
      <c r="J922" t="s">
        <v>1022</v>
      </c>
      <c r="K922" t="s">
        <v>1024</v>
      </c>
      <c r="L922">
        <v>11</v>
      </c>
      <c r="M922">
        <v>24</v>
      </c>
      <c r="N922">
        <v>11850000</v>
      </c>
      <c r="O922">
        <f>PropertyData[[#This Row],[Price]]/PropertyData[[#This Row],[Area_sqft]]</f>
        <v>6999.409332545777</v>
      </c>
      <c r="P922" t="str">
        <f t="shared" si="14"/>
        <v>Premium</v>
      </c>
    </row>
    <row r="923" spans="1:16">
      <c r="A923" t="s">
        <v>935</v>
      </c>
      <c r="B923" t="s">
        <v>1015</v>
      </c>
      <c r="C923">
        <v>970</v>
      </c>
      <c r="D923">
        <v>2</v>
      </c>
      <c r="E923">
        <v>2</v>
      </c>
      <c r="F923">
        <v>21</v>
      </c>
      <c r="G923" t="s">
        <v>1022</v>
      </c>
      <c r="H923" t="s">
        <v>1022</v>
      </c>
      <c r="I923" t="s">
        <v>1023</v>
      </c>
      <c r="J923" t="s">
        <v>1022</v>
      </c>
      <c r="K923" t="s">
        <v>1025</v>
      </c>
      <c r="L923">
        <v>14</v>
      </c>
      <c r="M923">
        <v>24</v>
      </c>
      <c r="N923">
        <v>2850000</v>
      </c>
      <c r="O923">
        <f>PropertyData[[#This Row],[Price]]/PropertyData[[#This Row],[Area_sqft]]</f>
        <v>2938.144329896907</v>
      </c>
      <c r="P923" t="str">
        <f t="shared" si="14"/>
        <v>Budget</v>
      </c>
    </row>
    <row r="924" spans="1:16">
      <c r="A924" t="s">
        <v>936</v>
      </c>
      <c r="B924" t="s">
        <v>1016</v>
      </c>
      <c r="C924">
        <v>1493</v>
      </c>
      <c r="D924">
        <v>3</v>
      </c>
      <c r="E924">
        <v>3</v>
      </c>
      <c r="F924">
        <v>11</v>
      </c>
      <c r="G924" t="s">
        <v>1022</v>
      </c>
      <c r="H924" t="s">
        <v>1022</v>
      </c>
      <c r="I924" t="s">
        <v>1022</v>
      </c>
      <c r="J924" t="s">
        <v>1022</v>
      </c>
      <c r="K924" t="s">
        <v>1025</v>
      </c>
      <c r="L924">
        <v>5</v>
      </c>
      <c r="M924">
        <v>10</v>
      </c>
      <c r="N924">
        <v>8700000</v>
      </c>
      <c r="O924">
        <f>PropertyData[[#This Row],[Price]]/PropertyData[[#This Row],[Area_sqft]]</f>
        <v>5827.1935699933019</v>
      </c>
      <c r="P924" t="str">
        <f t="shared" si="14"/>
        <v>Mid-Range</v>
      </c>
    </row>
    <row r="925" spans="1:16">
      <c r="A925" t="s">
        <v>937</v>
      </c>
      <c r="B925" t="s">
        <v>1017</v>
      </c>
      <c r="C925">
        <v>1557</v>
      </c>
      <c r="D925">
        <v>3</v>
      </c>
      <c r="E925">
        <v>3</v>
      </c>
      <c r="F925">
        <v>7</v>
      </c>
      <c r="G925" t="s">
        <v>1023</v>
      </c>
      <c r="H925" t="s">
        <v>1023</v>
      </c>
      <c r="I925" t="s">
        <v>1023</v>
      </c>
      <c r="J925" t="s">
        <v>1022</v>
      </c>
      <c r="K925" t="s">
        <v>1025</v>
      </c>
      <c r="L925">
        <v>19</v>
      </c>
      <c r="M925">
        <v>19</v>
      </c>
      <c r="N925">
        <v>5500000</v>
      </c>
      <c r="O925">
        <f>PropertyData[[#This Row],[Price]]/PropertyData[[#This Row],[Area_sqft]]</f>
        <v>3532.4341682723184</v>
      </c>
      <c r="P925" t="str">
        <f t="shared" si="14"/>
        <v>Mid-Range</v>
      </c>
    </row>
    <row r="926" spans="1:16">
      <c r="A926" t="s">
        <v>938</v>
      </c>
      <c r="B926" t="s">
        <v>1016</v>
      </c>
      <c r="C926">
        <v>1376</v>
      </c>
      <c r="D926">
        <v>3</v>
      </c>
      <c r="E926">
        <v>3</v>
      </c>
      <c r="F926">
        <v>2</v>
      </c>
      <c r="G926" t="s">
        <v>1022</v>
      </c>
      <c r="H926" t="s">
        <v>1023</v>
      </c>
      <c r="I926" t="s">
        <v>1022</v>
      </c>
      <c r="J926" t="s">
        <v>1022</v>
      </c>
      <c r="K926" t="s">
        <v>1025</v>
      </c>
      <c r="L926">
        <v>18</v>
      </c>
      <c r="M926">
        <v>18</v>
      </c>
      <c r="N926">
        <v>7500000</v>
      </c>
      <c r="O926">
        <f>PropertyData[[#This Row],[Price]]/PropertyData[[#This Row],[Area_sqft]]</f>
        <v>5450.5813953488368</v>
      </c>
      <c r="P926" t="str">
        <f t="shared" si="14"/>
        <v>Mid-Range</v>
      </c>
    </row>
    <row r="927" spans="1:16">
      <c r="A927" t="s">
        <v>939</v>
      </c>
      <c r="B927" t="s">
        <v>1014</v>
      </c>
      <c r="C927">
        <v>1769</v>
      </c>
      <c r="D927">
        <v>4</v>
      </c>
      <c r="E927">
        <v>4</v>
      </c>
      <c r="F927">
        <v>12</v>
      </c>
      <c r="G927" t="s">
        <v>1023</v>
      </c>
      <c r="H927" t="s">
        <v>1023</v>
      </c>
      <c r="I927" t="s">
        <v>1022</v>
      </c>
      <c r="J927" t="s">
        <v>1023</v>
      </c>
      <c r="K927" t="s">
        <v>1025</v>
      </c>
      <c r="L927">
        <v>3</v>
      </c>
      <c r="M927">
        <v>23</v>
      </c>
      <c r="N927">
        <v>11850000</v>
      </c>
      <c r="O927">
        <f>PropertyData[[#This Row],[Price]]/PropertyData[[#This Row],[Area_sqft]]</f>
        <v>6698.6998304126628</v>
      </c>
      <c r="P927" t="str">
        <f t="shared" si="14"/>
        <v>Premium</v>
      </c>
    </row>
    <row r="928" spans="1:16">
      <c r="A928" t="s">
        <v>940</v>
      </c>
      <c r="B928" t="s">
        <v>1017</v>
      </c>
      <c r="C928">
        <v>1099</v>
      </c>
      <c r="D928">
        <v>2</v>
      </c>
      <c r="E928">
        <v>1</v>
      </c>
      <c r="F928">
        <v>11</v>
      </c>
      <c r="G928" t="s">
        <v>1022</v>
      </c>
      <c r="H928" t="s">
        <v>1022</v>
      </c>
      <c r="I928" t="s">
        <v>1023</v>
      </c>
      <c r="J928" t="s">
        <v>1022</v>
      </c>
      <c r="K928" t="s">
        <v>1025</v>
      </c>
      <c r="L928">
        <v>13</v>
      </c>
      <c r="M928">
        <v>24</v>
      </c>
      <c r="N928">
        <v>4050000</v>
      </c>
      <c r="O928">
        <f>PropertyData[[#This Row],[Price]]/PropertyData[[#This Row],[Area_sqft]]</f>
        <v>3685.1683348498636</v>
      </c>
      <c r="P928" t="str">
        <f t="shared" si="14"/>
        <v>Budget</v>
      </c>
    </row>
    <row r="929" spans="1:16">
      <c r="A929" t="s">
        <v>941</v>
      </c>
      <c r="B929" t="s">
        <v>1015</v>
      </c>
      <c r="C929">
        <v>992</v>
      </c>
      <c r="D929">
        <v>2</v>
      </c>
      <c r="E929">
        <v>2</v>
      </c>
      <c r="F929">
        <v>28</v>
      </c>
      <c r="G929" t="s">
        <v>1022</v>
      </c>
      <c r="H929" t="s">
        <v>1022</v>
      </c>
      <c r="I929" t="s">
        <v>1023</v>
      </c>
      <c r="J929" t="s">
        <v>1022</v>
      </c>
      <c r="K929" t="s">
        <v>1024</v>
      </c>
      <c r="L929">
        <v>1</v>
      </c>
      <c r="M929">
        <v>23</v>
      </c>
      <c r="N929">
        <v>3500000</v>
      </c>
      <c r="O929">
        <f>PropertyData[[#This Row],[Price]]/PropertyData[[#This Row],[Area_sqft]]</f>
        <v>3528.2258064516127</v>
      </c>
      <c r="P929" t="str">
        <f t="shared" si="14"/>
        <v>Budget</v>
      </c>
    </row>
    <row r="930" spans="1:16">
      <c r="A930" t="s">
        <v>942</v>
      </c>
      <c r="B930" t="s">
        <v>1014</v>
      </c>
      <c r="C930">
        <v>1416</v>
      </c>
      <c r="D930">
        <v>3</v>
      </c>
      <c r="E930">
        <v>4</v>
      </c>
      <c r="F930">
        <v>17</v>
      </c>
      <c r="G930" t="s">
        <v>1022</v>
      </c>
      <c r="H930" t="s">
        <v>1023</v>
      </c>
      <c r="I930" t="s">
        <v>1023</v>
      </c>
      <c r="J930" t="s">
        <v>1022</v>
      </c>
      <c r="K930" t="s">
        <v>1025</v>
      </c>
      <c r="L930">
        <v>8</v>
      </c>
      <c r="M930">
        <v>12</v>
      </c>
      <c r="N930">
        <v>8400000</v>
      </c>
      <c r="O930">
        <f>PropertyData[[#This Row],[Price]]/PropertyData[[#This Row],[Area_sqft]]</f>
        <v>5932.2033898305081</v>
      </c>
      <c r="P930" t="str">
        <f t="shared" si="14"/>
        <v>Mid-Range</v>
      </c>
    </row>
    <row r="931" spans="1:16">
      <c r="A931" t="s">
        <v>943</v>
      </c>
      <c r="B931" t="s">
        <v>1019</v>
      </c>
      <c r="C931">
        <v>1518</v>
      </c>
      <c r="D931">
        <v>3</v>
      </c>
      <c r="E931">
        <v>2</v>
      </c>
      <c r="F931">
        <v>14</v>
      </c>
      <c r="G931" t="s">
        <v>1022</v>
      </c>
      <c r="H931" t="s">
        <v>1022</v>
      </c>
      <c r="I931" t="s">
        <v>1022</v>
      </c>
      <c r="J931" t="s">
        <v>1022</v>
      </c>
      <c r="K931" t="s">
        <v>1024</v>
      </c>
      <c r="L931">
        <v>6</v>
      </c>
      <c r="M931">
        <v>7</v>
      </c>
      <c r="N931">
        <v>12750000</v>
      </c>
      <c r="O931">
        <f>PropertyData[[#This Row],[Price]]/PropertyData[[#This Row],[Area_sqft]]</f>
        <v>8399.209486166008</v>
      </c>
      <c r="P931" t="str">
        <f t="shared" si="14"/>
        <v>Premium</v>
      </c>
    </row>
    <row r="932" spans="1:16">
      <c r="A932" t="s">
        <v>944</v>
      </c>
      <c r="B932" t="s">
        <v>1021</v>
      </c>
      <c r="C932">
        <v>968</v>
      </c>
      <c r="D932">
        <v>2</v>
      </c>
      <c r="E932">
        <v>2</v>
      </c>
      <c r="F932">
        <v>13</v>
      </c>
      <c r="G932" t="s">
        <v>1023</v>
      </c>
      <c r="H932" t="s">
        <v>1022</v>
      </c>
      <c r="I932" t="s">
        <v>1023</v>
      </c>
      <c r="J932" t="s">
        <v>1022</v>
      </c>
      <c r="K932" t="s">
        <v>1025</v>
      </c>
      <c r="L932">
        <v>13</v>
      </c>
      <c r="M932">
        <v>23</v>
      </c>
      <c r="N932">
        <v>5550000</v>
      </c>
      <c r="O932">
        <f>PropertyData[[#This Row],[Price]]/PropertyData[[#This Row],[Area_sqft]]</f>
        <v>5733.4710743801652</v>
      </c>
      <c r="P932" t="str">
        <f t="shared" si="14"/>
        <v>Mid-Range</v>
      </c>
    </row>
    <row r="933" spans="1:16">
      <c r="A933" t="s">
        <v>945</v>
      </c>
      <c r="B933" t="s">
        <v>1014</v>
      </c>
      <c r="C933">
        <v>863</v>
      </c>
      <c r="D933">
        <v>2</v>
      </c>
      <c r="E933">
        <v>1</v>
      </c>
      <c r="F933">
        <v>20</v>
      </c>
      <c r="G933" t="s">
        <v>1023</v>
      </c>
      <c r="H933" t="s">
        <v>1023</v>
      </c>
      <c r="I933" t="s">
        <v>1023</v>
      </c>
      <c r="J933" t="s">
        <v>1022</v>
      </c>
      <c r="K933" t="s">
        <v>1026</v>
      </c>
      <c r="L933">
        <v>13</v>
      </c>
      <c r="M933">
        <v>19</v>
      </c>
      <c r="N933">
        <v>5850000</v>
      </c>
      <c r="O933">
        <f>PropertyData[[#This Row],[Price]]/PropertyData[[#This Row],[Area_sqft]]</f>
        <v>6778.6790266512171</v>
      </c>
      <c r="P933" t="str">
        <f t="shared" si="14"/>
        <v>Mid-Range</v>
      </c>
    </row>
    <row r="934" spans="1:16">
      <c r="A934" t="s">
        <v>946</v>
      </c>
      <c r="B934" t="s">
        <v>1020</v>
      </c>
      <c r="C934">
        <v>1454</v>
      </c>
      <c r="D934">
        <v>3</v>
      </c>
      <c r="E934">
        <v>3</v>
      </c>
      <c r="F934">
        <v>13</v>
      </c>
      <c r="G934" t="s">
        <v>1023</v>
      </c>
      <c r="H934" t="s">
        <v>1023</v>
      </c>
      <c r="I934" t="s">
        <v>1023</v>
      </c>
      <c r="J934" t="s">
        <v>1022</v>
      </c>
      <c r="K934" t="s">
        <v>1024</v>
      </c>
      <c r="L934">
        <v>20</v>
      </c>
      <c r="M934">
        <v>20</v>
      </c>
      <c r="N934">
        <v>9750000</v>
      </c>
      <c r="O934">
        <f>PropertyData[[#This Row],[Price]]/PropertyData[[#This Row],[Area_sqft]]</f>
        <v>6705.6396148555705</v>
      </c>
      <c r="P934" t="str">
        <f t="shared" si="14"/>
        <v>Mid-Range</v>
      </c>
    </row>
    <row r="935" spans="1:16">
      <c r="A935" t="s">
        <v>947</v>
      </c>
      <c r="B935" t="s">
        <v>1014</v>
      </c>
      <c r="C935">
        <v>1013</v>
      </c>
      <c r="D935">
        <v>2</v>
      </c>
      <c r="E935">
        <v>2</v>
      </c>
      <c r="F935">
        <v>17</v>
      </c>
      <c r="G935" t="s">
        <v>1022</v>
      </c>
      <c r="H935" t="s">
        <v>1023</v>
      </c>
      <c r="I935" t="s">
        <v>1022</v>
      </c>
      <c r="J935" t="s">
        <v>1022</v>
      </c>
      <c r="K935" t="s">
        <v>1024</v>
      </c>
      <c r="L935">
        <v>5</v>
      </c>
      <c r="M935">
        <v>16</v>
      </c>
      <c r="N935">
        <v>7750000</v>
      </c>
      <c r="O935">
        <f>PropertyData[[#This Row],[Price]]/PropertyData[[#This Row],[Area_sqft]]</f>
        <v>7650.5429417571568</v>
      </c>
      <c r="P935" t="str">
        <f t="shared" si="14"/>
        <v>Mid-Range</v>
      </c>
    </row>
    <row r="936" spans="1:16">
      <c r="A936" t="s">
        <v>948</v>
      </c>
      <c r="B936" t="s">
        <v>1020</v>
      </c>
      <c r="C936">
        <v>2043</v>
      </c>
      <c r="D936">
        <v>4</v>
      </c>
      <c r="E936">
        <v>3</v>
      </c>
      <c r="F936">
        <v>4</v>
      </c>
      <c r="G936" t="s">
        <v>1022</v>
      </c>
      <c r="H936" t="s">
        <v>1023</v>
      </c>
      <c r="I936" t="s">
        <v>1023</v>
      </c>
      <c r="J936" t="s">
        <v>1022</v>
      </c>
      <c r="K936" t="s">
        <v>1025</v>
      </c>
      <c r="L936">
        <v>19</v>
      </c>
      <c r="M936">
        <v>23</v>
      </c>
      <c r="N936">
        <v>13850000</v>
      </c>
      <c r="O936">
        <f>PropertyData[[#This Row],[Price]]/PropertyData[[#This Row],[Area_sqft]]</f>
        <v>6779.2462065589816</v>
      </c>
      <c r="P936" t="str">
        <f t="shared" si="14"/>
        <v>Premium</v>
      </c>
    </row>
    <row r="937" spans="1:16">
      <c r="A937" t="s">
        <v>949</v>
      </c>
      <c r="B937" t="s">
        <v>1021</v>
      </c>
      <c r="C937">
        <v>1753</v>
      </c>
      <c r="D937">
        <v>4</v>
      </c>
      <c r="E937">
        <v>3</v>
      </c>
      <c r="F937">
        <v>0</v>
      </c>
      <c r="G937" t="s">
        <v>1023</v>
      </c>
      <c r="H937" t="s">
        <v>1022</v>
      </c>
      <c r="I937" t="s">
        <v>1023</v>
      </c>
      <c r="J937" t="s">
        <v>1022</v>
      </c>
      <c r="K937" t="s">
        <v>1024</v>
      </c>
      <c r="L937">
        <v>6</v>
      </c>
      <c r="M937">
        <v>7</v>
      </c>
      <c r="N937">
        <v>13600000</v>
      </c>
      <c r="O937">
        <f>PropertyData[[#This Row],[Price]]/PropertyData[[#This Row],[Area_sqft]]</f>
        <v>7758.1289218482598</v>
      </c>
      <c r="P937" t="str">
        <f t="shared" si="14"/>
        <v>Premium</v>
      </c>
    </row>
    <row r="938" spans="1:16">
      <c r="A938" t="s">
        <v>950</v>
      </c>
      <c r="B938" t="s">
        <v>1019</v>
      </c>
      <c r="C938">
        <v>1284</v>
      </c>
      <c r="D938">
        <v>3</v>
      </c>
      <c r="E938">
        <v>3</v>
      </c>
      <c r="F938">
        <v>27</v>
      </c>
      <c r="G938" t="s">
        <v>1022</v>
      </c>
      <c r="H938" t="s">
        <v>1023</v>
      </c>
      <c r="I938" t="s">
        <v>1022</v>
      </c>
      <c r="J938" t="s">
        <v>1022</v>
      </c>
      <c r="K938" t="s">
        <v>1026</v>
      </c>
      <c r="L938">
        <v>2</v>
      </c>
      <c r="M938">
        <v>10</v>
      </c>
      <c r="N938">
        <v>12300000</v>
      </c>
      <c r="O938">
        <f>PropertyData[[#This Row],[Price]]/PropertyData[[#This Row],[Area_sqft]]</f>
        <v>9579.4392523364495</v>
      </c>
      <c r="P938" t="str">
        <f t="shared" si="14"/>
        <v>Premium</v>
      </c>
    </row>
    <row r="939" spans="1:16">
      <c r="A939" t="s">
        <v>951</v>
      </c>
      <c r="B939" t="s">
        <v>1016</v>
      </c>
      <c r="C939">
        <v>1361</v>
      </c>
      <c r="D939">
        <v>3</v>
      </c>
      <c r="E939">
        <v>2</v>
      </c>
      <c r="F939">
        <v>11</v>
      </c>
      <c r="G939" t="s">
        <v>1022</v>
      </c>
      <c r="H939" t="s">
        <v>1022</v>
      </c>
      <c r="I939" t="s">
        <v>1023</v>
      </c>
      <c r="J939" t="s">
        <v>1022</v>
      </c>
      <c r="K939" t="s">
        <v>1025</v>
      </c>
      <c r="L939">
        <v>15</v>
      </c>
      <c r="M939">
        <v>16</v>
      </c>
      <c r="N939">
        <v>6300000</v>
      </c>
      <c r="O939">
        <f>PropertyData[[#This Row],[Price]]/PropertyData[[#This Row],[Area_sqft]]</f>
        <v>4628.9493019838355</v>
      </c>
      <c r="P939" t="str">
        <f t="shared" si="14"/>
        <v>Mid-Range</v>
      </c>
    </row>
    <row r="940" spans="1:16">
      <c r="A940" t="s">
        <v>952</v>
      </c>
      <c r="B940" t="s">
        <v>1017</v>
      </c>
      <c r="C940">
        <v>799</v>
      </c>
      <c r="D940">
        <v>1</v>
      </c>
      <c r="E940">
        <v>1</v>
      </c>
      <c r="F940">
        <v>5</v>
      </c>
      <c r="G940" t="s">
        <v>1022</v>
      </c>
      <c r="H940" t="s">
        <v>1022</v>
      </c>
      <c r="I940" t="s">
        <v>1022</v>
      </c>
      <c r="J940" t="s">
        <v>1022</v>
      </c>
      <c r="K940" t="s">
        <v>1026</v>
      </c>
      <c r="L940">
        <v>15</v>
      </c>
      <c r="M940">
        <v>15</v>
      </c>
      <c r="N940">
        <v>4700000</v>
      </c>
      <c r="O940">
        <f>PropertyData[[#This Row],[Price]]/PropertyData[[#This Row],[Area_sqft]]</f>
        <v>5882.3529411764703</v>
      </c>
      <c r="P940" t="str">
        <f t="shared" si="14"/>
        <v>Budget</v>
      </c>
    </row>
    <row r="941" spans="1:16">
      <c r="A941" t="s">
        <v>953</v>
      </c>
      <c r="B941" t="s">
        <v>1018</v>
      </c>
      <c r="C941">
        <v>737</v>
      </c>
      <c r="D941">
        <v>2</v>
      </c>
      <c r="E941">
        <v>2</v>
      </c>
      <c r="F941">
        <v>10</v>
      </c>
      <c r="G941" t="s">
        <v>1023</v>
      </c>
      <c r="H941" t="s">
        <v>1023</v>
      </c>
      <c r="I941" t="s">
        <v>1022</v>
      </c>
      <c r="J941" t="s">
        <v>1022</v>
      </c>
      <c r="K941" t="s">
        <v>1025</v>
      </c>
      <c r="L941">
        <v>9</v>
      </c>
      <c r="M941">
        <v>12</v>
      </c>
      <c r="N941">
        <v>4200000</v>
      </c>
      <c r="O941">
        <f>PropertyData[[#This Row],[Price]]/PropertyData[[#This Row],[Area_sqft]]</f>
        <v>5698.7788331071915</v>
      </c>
      <c r="P941" t="str">
        <f t="shared" si="14"/>
        <v>Budget</v>
      </c>
    </row>
    <row r="942" spans="1:16">
      <c r="A942" t="s">
        <v>954</v>
      </c>
      <c r="B942" t="s">
        <v>1017</v>
      </c>
      <c r="C942">
        <v>1097</v>
      </c>
      <c r="D942">
        <v>2</v>
      </c>
      <c r="E942">
        <v>2</v>
      </c>
      <c r="F942">
        <v>21</v>
      </c>
      <c r="G942" t="s">
        <v>1022</v>
      </c>
      <c r="H942" t="s">
        <v>1023</v>
      </c>
      <c r="I942" t="s">
        <v>1023</v>
      </c>
      <c r="J942" t="s">
        <v>1022</v>
      </c>
      <c r="K942" t="s">
        <v>1025</v>
      </c>
      <c r="L942">
        <v>4</v>
      </c>
      <c r="M942">
        <v>8</v>
      </c>
      <c r="N942">
        <v>3350000</v>
      </c>
      <c r="O942">
        <f>PropertyData[[#This Row],[Price]]/PropertyData[[#This Row],[Area_sqft]]</f>
        <v>3053.7830446672742</v>
      </c>
      <c r="P942" t="str">
        <f t="shared" si="14"/>
        <v>Budget</v>
      </c>
    </row>
    <row r="943" spans="1:16">
      <c r="A943" t="s">
        <v>955</v>
      </c>
      <c r="B943" t="s">
        <v>1018</v>
      </c>
      <c r="C943">
        <v>1200</v>
      </c>
      <c r="D943">
        <v>2</v>
      </c>
      <c r="E943">
        <v>2</v>
      </c>
      <c r="F943">
        <v>23</v>
      </c>
      <c r="G943" t="s">
        <v>1023</v>
      </c>
      <c r="H943" t="s">
        <v>1022</v>
      </c>
      <c r="I943" t="s">
        <v>1023</v>
      </c>
      <c r="J943" t="s">
        <v>1022</v>
      </c>
      <c r="K943" t="s">
        <v>1025</v>
      </c>
      <c r="L943">
        <v>18</v>
      </c>
      <c r="M943">
        <v>23</v>
      </c>
      <c r="N943">
        <v>5650000</v>
      </c>
      <c r="O943">
        <f>PropertyData[[#This Row],[Price]]/PropertyData[[#This Row],[Area_sqft]]</f>
        <v>4708.333333333333</v>
      </c>
      <c r="P943" t="str">
        <f t="shared" si="14"/>
        <v>Mid-Range</v>
      </c>
    </row>
    <row r="944" spans="1:16">
      <c r="A944" t="s">
        <v>956</v>
      </c>
      <c r="B944" t="s">
        <v>1017</v>
      </c>
      <c r="C944">
        <v>1257</v>
      </c>
      <c r="D944">
        <v>3</v>
      </c>
      <c r="E944">
        <v>2</v>
      </c>
      <c r="F944">
        <v>16</v>
      </c>
      <c r="G944" t="s">
        <v>1022</v>
      </c>
      <c r="H944" t="s">
        <v>1023</v>
      </c>
      <c r="I944" t="s">
        <v>1023</v>
      </c>
      <c r="J944" t="s">
        <v>1022</v>
      </c>
      <c r="K944" t="s">
        <v>1026</v>
      </c>
      <c r="L944">
        <v>17</v>
      </c>
      <c r="M944">
        <v>21</v>
      </c>
      <c r="N944">
        <v>6150000</v>
      </c>
      <c r="O944">
        <f>PropertyData[[#This Row],[Price]]/PropertyData[[#This Row],[Area_sqft]]</f>
        <v>4892.6014319809074</v>
      </c>
      <c r="P944" t="str">
        <f t="shared" si="14"/>
        <v>Mid-Range</v>
      </c>
    </row>
    <row r="945" spans="1:16">
      <c r="A945" t="s">
        <v>957</v>
      </c>
      <c r="B945" t="s">
        <v>1019</v>
      </c>
      <c r="C945">
        <v>1061</v>
      </c>
      <c r="D945">
        <v>3</v>
      </c>
      <c r="E945">
        <v>3</v>
      </c>
      <c r="F945">
        <v>12</v>
      </c>
      <c r="G945" t="s">
        <v>1023</v>
      </c>
      <c r="H945" t="s">
        <v>1022</v>
      </c>
      <c r="I945" t="s">
        <v>1023</v>
      </c>
      <c r="J945" t="s">
        <v>1022</v>
      </c>
      <c r="K945" t="s">
        <v>1025</v>
      </c>
      <c r="L945">
        <v>17</v>
      </c>
      <c r="M945">
        <v>17</v>
      </c>
      <c r="N945">
        <v>6950000</v>
      </c>
      <c r="O945">
        <f>PropertyData[[#This Row],[Price]]/PropertyData[[#This Row],[Area_sqft]]</f>
        <v>6550.4241281809609</v>
      </c>
      <c r="P945" t="str">
        <f t="shared" si="14"/>
        <v>Mid-Range</v>
      </c>
    </row>
    <row r="946" spans="1:16">
      <c r="A946" t="s">
        <v>958</v>
      </c>
      <c r="B946" t="s">
        <v>1014</v>
      </c>
      <c r="C946">
        <v>1916</v>
      </c>
      <c r="D946">
        <v>3</v>
      </c>
      <c r="E946">
        <v>3</v>
      </c>
      <c r="F946">
        <v>10</v>
      </c>
      <c r="G946" t="s">
        <v>1022</v>
      </c>
      <c r="H946" t="s">
        <v>1023</v>
      </c>
      <c r="I946" t="s">
        <v>1022</v>
      </c>
      <c r="J946" t="s">
        <v>1022</v>
      </c>
      <c r="K946" t="s">
        <v>1024</v>
      </c>
      <c r="L946">
        <v>9</v>
      </c>
      <c r="M946">
        <v>20</v>
      </c>
      <c r="N946">
        <v>16850000</v>
      </c>
      <c r="O946">
        <f>PropertyData[[#This Row],[Price]]/PropertyData[[#This Row],[Area_sqft]]</f>
        <v>8794.3632567849691</v>
      </c>
      <c r="P946" t="str">
        <f t="shared" si="14"/>
        <v>Premium</v>
      </c>
    </row>
    <row r="947" spans="1:16">
      <c r="A947" t="s">
        <v>959</v>
      </c>
      <c r="B947" t="s">
        <v>1018</v>
      </c>
      <c r="C947">
        <v>1073</v>
      </c>
      <c r="D947">
        <v>2</v>
      </c>
      <c r="E947">
        <v>3</v>
      </c>
      <c r="F947">
        <v>26</v>
      </c>
      <c r="G947" t="s">
        <v>1022</v>
      </c>
      <c r="H947" t="s">
        <v>1023</v>
      </c>
      <c r="I947" t="s">
        <v>1023</v>
      </c>
      <c r="J947" t="s">
        <v>1022</v>
      </c>
      <c r="K947" t="s">
        <v>1025</v>
      </c>
      <c r="L947">
        <v>17</v>
      </c>
      <c r="M947">
        <v>24</v>
      </c>
      <c r="N947">
        <v>4550000</v>
      </c>
      <c r="O947">
        <f>PropertyData[[#This Row],[Price]]/PropertyData[[#This Row],[Area_sqft]]</f>
        <v>4240.4473438956202</v>
      </c>
      <c r="P947" t="str">
        <f t="shared" si="14"/>
        <v>Budget</v>
      </c>
    </row>
    <row r="948" spans="1:16">
      <c r="A948" t="s">
        <v>960</v>
      </c>
      <c r="B948" t="s">
        <v>1014</v>
      </c>
      <c r="C948">
        <v>1944</v>
      </c>
      <c r="D948">
        <v>4</v>
      </c>
      <c r="E948">
        <v>3</v>
      </c>
      <c r="F948">
        <v>7</v>
      </c>
      <c r="G948" t="s">
        <v>1022</v>
      </c>
      <c r="H948" t="s">
        <v>1022</v>
      </c>
      <c r="I948" t="s">
        <v>1023</v>
      </c>
      <c r="J948" t="s">
        <v>1022</v>
      </c>
      <c r="K948" t="s">
        <v>1025</v>
      </c>
      <c r="L948">
        <v>15</v>
      </c>
      <c r="M948">
        <v>18</v>
      </c>
      <c r="N948">
        <v>13650000</v>
      </c>
      <c r="O948">
        <f>PropertyData[[#This Row],[Price]]/PropertyData[[#This Row],[Area_sqft]]</f>
        <v>7021.6049382716046</v>
      </c>
      <c r="P948" t="str">
        <f t="shared" si="14"/>
        <v>Premium</v>
      </c>
    </row>
    <row r="949" spans="1:16">
      <c r="A949" t="s">
        <v>961</v>
      </c>
      <c r="B949" t="s">
        <v>1014</v>
      </c>
      <c r="C949">
        <v>1029</v>
      </c>
      <c r="D949">
        <v>2</v>
      </c>
      <c r="E949">
        <v>3</v>
      </c>
      <c r="F949">
        <v>14</v>
      </c>
      <c r="G949" t="s">
        <v>1023</v>
      </c>
      <c r="H949" t="s">
        <v>1023</v>
      </c>
      <c r="I949" t="s">
        <v>1023</v>
      </c>
      <c r="J949" t="s">
        <v>1022</v>
      </c>
      <c r="K949" t="s">
        <v>1025</v>
      </c>
      <c r="L949">
        <v>13</v>
      </c>
      <c r="M949">
        <v>19</v>
      </c>
      <c r="N949">
        <v>6650000</v>
      </c>
      <c r="O949">
        <f>PropertyData[[#This Row],[Price]]/PropertyData[[#This Row],[Area_sqft]]</f>
        <v>6462.5850340136058</v>
      </c>
      <c r="P949" t="str">
        <f t="shared" si="14"/>
        <v>Mid-Range</v>
      </c>
    </row>
    <row r="950" spans="1:16">
      <c r="A950" t="s">
        <v>962</v>
      </c>
      <c r="B950" t="s">
        <v>1021</v>
      </c>
      <c r="C950">
        <v>1591</v>
      </c>
      <c r="D950">
        <v>4</v>
      </c>
      <c r="E950">
        <v>4</v>
      </c>
      <c r="F950">
        <v>19</v>
      </c>
      <c r="G950" t="s">
        <v>1023</v>
      </c>
      <c r="H950" t="s">
        <v>1023</v>
      </c>
      <c r="I950" t="s">
        <v>1022</v>
      </c>
      <c r="J950" t="s">
        <v>1022</v>
      </c>
      <c r="K950" t="s">
        <v>1024</v>
      </c>
      <c r="L950">
        <v>20</v>
      </c>
      <c r="M950">
        <v>21</v>
      </c>
      <c r="N950">
        <v>9300000</v>
      </c>
      <c r="O950">
        <f>PropertyData[[#This Row],[Price]]/PropertyData[[#This Row],[Area_sqft]]</f>
        <v>5845.3802639849155</v>
      </c>
      <c r="P950" t="str">
        <f t="shared" si="14"/>
        <v>Mid-Range</v>
      </c>
    </row>
    <row r="951" spans="1:16">
      <c r="A951" t="s">
        <v>963</v>
      </c>
      <c r="B951" t="s">
        <v>1019</v>
      </c>
      <c r="C951">
        <v>1450</v>
      </c>
      <c r="D951">
        <v>3</v>
      </c>
      <c r="E951">
        <v>4</v>
      </c>
      <c r="F951">
        <v>10</v>
      </c>
      <c r="G951" t="s">
        <v>1023</v>
      </c>
      <c r="H951" t="s">
        <v>1022</v>
      </c>
      <c r="I951" t="s">
        <v>1023</v>
      </c>
      <c r="J951" t="s">
        <v>1023</v>
      </c>
      <c r="K951" t="s">
        <v>1025</v>
      </c>
      <c r="L951">
        <v>7</v>
      </c>
      <c r="M951">
        <v>15</v>
      </c>
      <c r="N951">
        <v>9400000</v>
      </c>
      <c r="O951">
        <f>PropertyData[[#This Row],[Price]]/PropertyData[[#This Row],[Area_sqft]]</f>
        <v>6482.7586206896549</v>
      </c>
      <c r="P951" t="str">
        <f t="shared" si="14"/>
        <v>Mid-Range</v>
      </c>
    </row>
    <row r="952" spans="1:16">
      <c r="A952" t="s">
        <v>964</v>
      </c>
      <c r="B952" t="s">
        <v>1015</v>
      </c>
      <c r="C952">
        <v>1169</v>
      </c>
      <c r="D952">
        <v>3</v>
      </c>
      <c r="E952">
        <v>3</v>
      </c>
      <c r="F952">
        <v>13</v>
      </c>
      <c r="G952" t="s">
        <v>1022</v>
      </c>
      <c r="H952" t="s">
        <v>1023</v>
      </c>
      <c r="I952" t="s">
        <v>1022</v>
      </c>
      <c r="J952" t="s">
        <v>1022</v>
      </c>
      <c r="K952" t="s">
        <v>1025</v>
      </c>
      <c r="L952">
        <v>8</v>
      </c>
      <c r="M952">
        <v>12</v>
      </c>
      <c r="N952">
        <v>4300000</v>
      </c>
      <c r="O952">
        <f>PropertyData[[#This Row],[Price]]/PropertyData[[#This Row],[Area_sqft]]</f>
        <v>3678.3575705731396</v>
      </c>
      <c r="P952" t="str">
        <f t="shared" si="14"/>
        <v>Budget</v>
      </c>
    </row>
    <row r="953" spans="1:16">
      <c r="A953" t="s">
        <v>965</v>
      </c>
      <c r="B953" t="s">
        <v>1018</v>
      </c>
      <c r="C953">
        <v>1138</v>
      </c>
      <c r="D953">
        <v>2</v>
      </c>
      <c r="E953">
        <v>1</v>
      </c>
      <c r="F953">
        <v>14</v>
      </c>
      <c r="G953" t="s">
        <v>1022</v>
      </c>
      <c r="H953" t="s">
        <v>1023</v>
      </c>
      <c r="I953" t="s">
        <v>1023</v>
      </c>
      <c r="J953" t="s">
        <v>1023</v>
      </c>
      <c r="K953" t="s">
        <v>1025</v>
      </c>
      <c r="L953">
        <v>5</v>
      </c>
      <c r="M953">
        <v>13</v>
      </c>
      <c r="N953">
        <v>5900000</v>
      </c>
      <c r="O953">
        <f>PropertyData[[#This Row],[Price]]/PropertyData[[#This Row],[Area_sqft]]</f>
        <v>5184.5342706502634</v>
      </c>
      <c r="P953" t="str">
        <f t="shared" si="14"/>
        <v>Mid-Range</v>
      </c>
    </row>
    <row r="954" spans="1:16">
      <c r="A954" t="s">
        <v>966</v>
      </c>
      <c r="B954" t="s">
        <v>1020</v>
      </c>
      <c r="C954">
        <v>1214</v>
      </c>
      <c r="D954">
        <v>3</v>
      </c>
      <c r="E954">
        <v>3</v>
      </c>
      <c r="F954">
        <v>17</v>
      </c>
      <c r="G954" t="s">
        <v>1022</v>
      </c>
      <c r="H954" t="s">
        <v>1022</v>
      </c>
      <c r="I954" t="s">
        <v>1023</v>
      </c>
      <c r="J954" t="s">
        <v>1022</v>
      </c>
      <c r="K954" t="s">
        <v>1024</v>
      </c>
      <c r="L954">
        <v>16</v>
      </c>
      <c r="M954">
        <v>23</v>
      </c>
      <c r="N954">
        <v>8800000</v>
      </c>
      <c r="O954">
        <f>PropertyData[[#This Row],[Price]]/PropertyData[[#This Row],[Area_sqft]]</f>
        <v>7248.7644151565073</v>
      </c>
      <c r="P954" t="str">
        <f t="shared" si="14"/>
        <v>Mid-Range</v>
      </c>
    </row>
    <row r="955" spans="1:16">
      <c r="A955" t="s">
        <v>967</v>
      </c>
      <c r="B955" t="s">
        <v>1016</v>
      </c>
      <c r="C955">
        <v>1565</v>
      </c>
      <c r="D955">
        <v>4</v>
      </c>
      <c r="E955">
        <v>4</v>
      </c>
      <c r="F955">
        <v>11</v>
      </c>
      <c r="G955" t="s">
        <v>1022</v>
      </c>
      <c r="H955" t="s">
        <v>1022</v>
      </c>
      <c r="I955" t="s">
        <v>1023</v>
      </c>
      <c r="J955" t="s">
        <v>1022</v>
      </c>
      <c r="K955" t="s">
        <v>1025</v>
      </c>
      <c r="L955">
        <v>17</v>
      </c>
      <c r="M955">
        <v>20</v>
      </c>
      <c r="N955">
        <v>7400000</v>
      </c>
      <c r="O955">
        <f>PropertyData[[#This Row],[Price]]/PropertyData[[#This Row],[Area_sqft]]</f>
        <v>4728.4345047923325</v>
      </c>
      <c r="P955" t="str">
        <f t="shared" si="14"/>
        <v>Mid-Range</v>
      </c>
    </row>
    <row r="956" spans="1:16">
      <c r="A956" t="s">
        <v>968</v>
      </c>
      <c r="B956" t="s">
        <v>1018</v>
      </c>
      <c r="C956">
        <v>1374</v>
      </c>
      <c r="D956">
        <v>3</v>
      </c>
      <c r="E956">
        <v>3</v>
      </c>
      <c r="F956">
        <v>29</v>
      </c>
      <c r="G956" t="s">
        <v>1022</v>
      </c>
      <c r="H956" t="s">
        <v>1022</v>
      </c>
      <c r="I956" t="s">
        <v>1022</v>
      </c>
      <c r="J956" t="s">
        <v>1022</v>
      </c>
      <c r="K956" t="s">
        <v>1025</v>
      </c>
      <c r="L956">
        <v>3</v>
      </c>
      <c r="M956">
        <v>17</v>
      </c>
      <c r="N956">
        <v>6600000</v>
      </c>
      <c r="O956">
        <f>PropertyData[[#This Row],[Price]]/PropertyData[[#This Row],[Area_sqft]]</f>
        <v>4803.4934497816594</v>
      </c>
      <c r="P956" t="str">
        <f t="shared" si="14"/>
        <v>Mid-Range</v>
      </c>
    </row>
    <row r="957" spans="1:16">
      <c r="A957" t="s">
        <v>969</v>
      </c>
      <c r="B957" t="s">
        <v>1021</v>
      </c>
      <c r="C957">
        <v>1162</v>
      </c>
      <c r="D957">
        <v>2</v>
      </c>
      <c r="E957">
        <v>1</v>
      </c>
      <c r="F957">
        <v>17</v>
      </c>
      <c r="G957" t="s">
        <v>1022</v>
      </c>
      <c r="H957" t="s">
        <v>1022</v>
      </c>
      <c r="I957" t="s">
        <v>1023</v>
      </c>
      <c r="J957" t="s">
        <v>1022</v>
      </c>
      <c r="K957" t="s">
        <v>1024</v>
      </c>
      <c r="L957">
        <v>20</v>
      </c>
      <c r="M957">
        <v>20</v>
      </c>
      <c r="N957">
        <v>7400000</v>
      </c>
      <c r="O957">
        <f>PropertyData[[#This Row],[Price]]/PropertyData[[#This Row],[Area_sqft]]</f>
        <v>6368.3304647160066</v>
      </c>
      <c r="P957" t="str">
        <f t="shared" si="14"/>
        <v>Mid-Range</v>
      </c>
    </row>
    <row r="958" spans="1:16">
      <c r="A958" t="s">
        <v>970</v>
      </c>
      <c r="B958" t="s">
        <v>1015</v>
      </c>
      <c r="C958">
        <v>1294</v>
      </c>
      <c r="D958">
        <v>3</v>
      </c>
      <c r="E958">
        <v>3</v>
      </c>
      <c r="F958">
        <v>26</v>
      </c>
      <c r="G958" t="s">
        <v>1023</v>
      </c>
      <c r="H958" t="s">
        <v>1023</v>
      </c>
      <c r="I958" t="s">
        <v>1023</v>
      </c>
      <c r="J958" t="s">
        <v>1022</v>
      </c>
      <c r="K958" t="s">
        <v>1024</v>
      </c>
      <c r="L958">
        <v>4</v>
      </c>
      <c r="M958">
        <v>7</v>
      </c>
      <c r="N958">
        <v>4150000</v>
      </c>
      <c r="O958">
        <f>PropertyData[[#This Row],[Price]]/PropertyData[[#This Row],[Area_sqft]]</f>
        <v>3207.1097372488407</v>
      </c>
      <c r="P958" t="str">
        <f t="shared" si="14"/>
        <v>Budget</v>
      </c>
    </row>
    <row r="959" spans="1:16">
      <c r="A959" t="s">
        <v>971</v>
      </c>
      <c r="B959" t="s">
        <v>1015</v>
      </c>
      <c r="C959">
        <v>770</v>
      </c>
      <c r="D959">
        <v>2</v>
      </c>
      <c r="E959">
        <v>2</v>
      </c>
      <c r="F959">
        <v>12</v>
      </c>
      <c r="G959" t="s">
        <v>1022</v>
      </c>
      <c r="H959" t="s">
        <v>1023</v>
      </c>
      <c r="I959" t="s">
        <v>1023</v>
      </c>
      <c r="J959" t="s">
        <v>1022</v>
      </c>
      <c r="K959" t="s">
        <v>1026</v>
      </c>
      <c r="L959">
        <v>3</v>
      </c>
      <c r="M959">
        <v>22</v>
      </c>
      <c r="N959">
        <v>3650000</v>
      </c>
      <c r="O959">
        <f>PropertyData[[#This Row],[Price]]/PropertyData[[#This Row],[Area_sqft]]</f>
        <v>4740.2597402597403</v>
      </c>
      <c r="P959" t="str">
        <f t="shared" si="14"/>
        <v>Budget</v>
      </c>
    </row>
    <row r="960" spans="1:16">
      <c r="A960" t="s">
        <v>972</v>
      </c>
      <c r="B960" t="s">
        <v>1017</v>
      </c>
      <c r="C960">
        <v>1118</v>
      </c>
      <c r="D960">
        <v>2</v>
      </c>
      <c r="E960">
        <v>2</v>
      </c>
      <c r="F960">
        <v>6</v>
      </c>
      <c r="G960" t="s">
        <v>1022</v>
      </c>
      <c r="H960" t="s">
        <v>1022</v>
      </c>
      <c r="I960" t="s">
        <v>1023</v>
      </c>
      <c r="J960" t="s">
        <v>1022</v>
      </c>
      <c r="K960" t="s">
        <v>1025</v>
      </c>
      <c r="L960">
        <v>4</v>
      </c>
      <c r="M960">
        <v>9</v>
      </c>
      <c r="N960">
        <v>4850000</v>
      </c>
      <c r="O960">
        <f>PropertyData[[#This Row],[Price]]/PropertyData[[#This Row],[Area_sqft]]</f>
        <v>4338.1037567084077</v>
      </c>
      <c r="P960" t="str">
        <f t="shared" si="14"/>
        <v>Budget</v>
      </c>
    </row>
    <row r="961" spans="1:16">
      <c r="A961" t="s">
        <v>973</v>
      </c>
      <c r="B961" t="s">
        <v>1018</v>
      </c>
      <c r="C961">
        <v>1434</v>
      </c>
      <c r="D961">
        <v>3</v>
      </c>
      <c r="E961">
        <v>4</v>
      </c>
      <c r="F961">
        <v>10</v>
      </c>
      <c r="G961" t="s">
        <v>1022</v>
      </c>
      <c r="H961" t="s">
        <v>1022</v>
      </c>
      <c r="I961" t="s">
        <v>1023</v>
      </c>
      <c r="J961" t="s">
        <v>1022</v>
      </c>
      <c r="K961" t="s">
        <v>1024</v>
      </c>
      <c r="L961">
        <v>1</v>
      </c>
      <c r="M961">
        <v>15</v>
      </c>
      <c r="N961">
        <v>8300000</v>
      </c>
      <c r="O961">
        <f>PropertyData[[#This Row],[Price]]/PropertyData[[#This Row],[Area_sqft]]</f>
        <v>5788.0055788005575</v>
      </c>
      <c r="P961" t="str">
        <f t="shared" si="14"/>
        <v>Mid-Range</v>
      </c>
    </row>
    <row r="962" spans="1:16">
      <c r="A962" t="s">
        <v>974</v>
      </c>
      <c r="B962" t="s">
        <v>1021</v>
      </c>
      <c r="C962">
        <v>2056</v>
      </c>
      <c r="D962">
        <v>4</v>
      </c>
      <c r="E962">
        <v>3</v>
      </c>
      <c r="F962">
        <v>28</v>
      </c>
      <c r="G962" t="s">
        <v>1022</v>
      </c>
      <c r="H962" t="s">
        <v>1022</v>
      </c>
      <c r="I962" t="s">
        <v>1023</v>
      </c>
      <c r="J962" t="s">
        <v>1023</v>
      </c>
      <c r="K962" t="s">
        <v>1025</v>
      </c>
      <c r="L962">
        <v>18</v>
      </c>
      <c r="M962">
        <v>18</v>
      </c>
      <c r="N962">
        <v>11150000</v>
      </c>
      <c r="O962">
        <f>PropertyData[[#This Row],[Price]]/PropertyData[[#This Row],[Area_sqft]]</f>
        <v>5423.1517509727628</v>
      </c>
      <c r="P962" t="str">
        <f t="shared" ref="P962:P1001" si="15">IF(N962&lt;5000000,"Budget",IF(N962&lt;=10000000,"Mid-Range","Premium"))</f>
        <v>Premium</v>
      </c>
    </row>
    <row r="963" spans="1:16">
      <c r="A963" t="s">
        <v>975</v>
      </c>
      <c r="B963" t="s">
        <v>1020</v>
      </c>
      <c r="C963">
        <v>1874</v>
      </c>
      <c r="D963">
        <v>4</v>
      </c>
      <c r="E963">
        <v>4</v>
      </c>
      <c r="F963">
        <v>26</v>
      </c>
      <c r="G963" t="s">
        <v>1022</v>
      </c>
      <c r="H963" t="s">
        <v>1022</v>
      </c>
      <c r="I963" t="s">
        <v>1023</v>
      </c>
      <c r="J963" t="s">
        <v>1022</v>
      </c>
      <c r="K963" t="s">
        <v>1024</v>
      </c>
      <c r="L963">
        <v>3</v>
      </c>
      <c r="M963">
        <v>15</v>
      </c>
      <c r="N963">
        <v>11700000</v>
      </c>
      <c r="O963">
        <f>PropertyData[[#This Row],[Price]]/PropertyData[[#This Row],[Area_sqft]]</f>
        <v>6243.3297758804692</v>
      </c>
      <c r="P963" t="str">
        <f t="shared" si="15"/>
        <v>Premium</v>
      </c>
    </row>
    <row r="964" spans="1:16">
      <c r="A964" t="s">
        <v>976</v>
      </c>
      <c r="B964" t="s">
        <v>1014</v>
      </c>
      <c r="C964">
        <v>701</v>
      </c>
      <c r="D964">
        <v>1</v>
      </c>
      <c r="E964">
        <v>2</v>
      </c>
      <c r="F964">
        <v>22</v>
      </c>
      <c r="G964" t="s">
        <v>1022</v>
      </c>
      <c r="H964" t="s">
        <v>1022</v>
      </c>
      <c r="I964" t="s">
        <v>1023</v>
      </c>
      <c r="J964" t="s">
        <v>1022</v>
      </c>
      <c r="K964" t="s">
        <v>1025</v>
      </c>
      <c r="L964">
        <v>20</v>
      </c>
      <c r="M964">
        <v>23</v>
      </c>
      <c r="N964">
        <v>4700000</v>
      </c>
      <c r="O964">
        <f>PropertyData[[#This Row],[Price]]/PropertyData[[#This Row],[Area_sqft]]</f>
        <v>6704.7075606276749</v>
      </c>
      <c r="P964" t="str">
        <f t="shared" si="15"/>
        <v>Budget</v>
      </c>
    </row>
    <row r="965" spans="1:16">
      <c r="A965" t="s">
        <v>977</v>
      </c>
      <c r="B965" t="s">
        <v>1015</v>
      </c>
      <c r="C965">
        <v>1316</v>
      </c>
      <c r="D965">
        <v>3</v>
      </c>
      <c r="E965">
        <v>2</v>
      </c>
      <c r="F965">
        <v>24</v>
      </c>
      <c r="G965" t="s">
        <v>1022</v>
      </c>
      <c r="H965" t="s">
        <v>1022</v>
      </c>
      <c r="I965" t="s">
        <v>1023</v>
      </c>
      <c r="J965" t="s">
        <v>1022</v>
      </c>
      <c r="K965" t="s">
        <v>1025</v>
      </c>
      <c r="L965">
        <v>13</v>
      </c>
      <c r="M965">
        <v>19</v>
      </c>
      <c r="N965">
        <v>4100000</v>
      </c>
      <c r="O965">
        <f>PropertyData[[#This Row],[Price]]/PropertyData[[#This Row],[Area_sqft]]</f>
        <v>3115.5015197568391</v>
      </c>
      <c r="P965" t="str">
        <f t="shared" si="15"/>
        <v>Budget</v>
      </c>
    </row>
    <row r="966" spans="1:16">
      <c r="A966" t="s">
        <v>978</v>
      </c>
      <c r="B966" t="s">
        <v>1019</v>
      </c>
      <c r="C966">
        <v>1694</v>
      </c>
      <c r="D966">
        <v>4</v>
      </c>
      <c r="E966">
        <v>4</v>
      </c>
      <c r="F966">
        <v>8</v>
      </c>
      <c r="G966" t="s">
        <v>1022</v>
      </c>
      <c r="H966" t="s">
        <v>1023</v>
      </c>
      <c r="I966" t="s">
        <v>1022</v>
      </c>
      <c r="J966" t="s">
        <v>1022</v>
      </c>
      <c r="K966" t="s">
        <v>1025</v>
      </c>
      <c r="L966">
        <v>7</v>
      </c>
      <c r="M966">
        <v>12</v>
      </c>
      <c r="N966">
        <v>14350000</v>
      </c>
      <c r="O966">
        <f>PropertyData[[#This Row],[Price]]/PropertyData[[#This Row],[Area_sqft]]</f>
        <v>8471.0743801652898</v>
      </c>
      <c r="P966" t="str">
        <f t="shared" si="15"/>
        <v>Premium</v>
      </c>
    </row>
    <row r="967" spans="1:16">
      <c r="A967" t="s">
        <v>979</v>
      </c>
      <c r="B967" t="s">
        <v>1017</v>
      </c>
      <c r="C967">
        <v>1305</v>
      </c>
      <c r="D967">
        <v>3</v>
      </c>
      <c r="E967">
        <v>3</v>
      </c>
      <c r="F967">
        <v>23</v>
      </c>
      <c r="G967" t="s">
        <v>1022</v>
      </c>
      <c r="H967" t="s">
        <v>1022</v>
      </c>
      <c r="I967" t="s">
        <v>1023</v>
      </c>
      <c r="J967" t="s">
        <v>1022</v>
      </c>
      <c r="K967" t="s">
        <v>1024</v>
      </c>
      <c r="L967">
        <v>13</v>
      </c>
      <c r="M967">
        <v>16</v>
      </c>
      <c r="N967">
        <v>4950000</v>
      </c>
      <c r="O967">
        <f>PropertyData[[#This Row],[Price]]/PropertyData[[#This Row],[Area_sqft]]</f>
        <v>3793.1034482758619</v>
      </c>
      <c r="P967" t="str">
        <f t="shared" si="15"/>
        <v>Budget</v>
      </c>
    </row>
    <row r="968" spans="1:16">
      <c r="A968" t="s">
        <v>980</v>
      </c>
      <c r="B968" t="s">
        <v>1017</v>
      </c>
      <c r="C968">
        <v>1597</v>
      </c>
      <c r="D968">
        <v>3</v>
      </c>
      <c r="E968">
        <v>2</v>
      </c>
      <c r="F968">
        <v>9</v>
      </c>
      <c r="G968" t="s">
        <v>1022</v>
      </c>
      <c r="H968" t="s">
        <v>1023</v>
      </c>
      <c r="I968" t="s">
        <v>1023</v>
      </c>
      <c r="J968" t="s">
        <v>1022</v>
      </c>
      <c r="K968" t="s">
        <v>1024</v>
      </c>
      <c r="L968">
        <v>1</v>
      </c>
      <c r="M968">
        <v>18</v>
      </c>
      <c r="N968">
        <v>6250000</v>
      </c>
      <c r="O968">
        <f>PropertyData[[#This Row],[Price]]/PropertyData[[#This Row],[Area_sqft]]</f>
        <v>3913.5879774577334</v>
      </c>
      <c r="P968" t="str">
        <f t="shared" si="15"/>
        <v>Mid-Range</v>
      </c>
    </row>
    <row r="969" spans="1:16">
      <c r="A969" t="s">
        <v>981</v>
      </c>
      <c r="B969" t="s">
        <v>1021</v>
      </c>
      <c r="C969">
        <v>1122</v>
      </c>
      <c r="D969">
        <v>3</v>
      </c>
      <c r="E969">
        <v>3</v>
      </c>
      <c r="F969">
        <v>10</v>
      </c>
      <c r="G969" t="s">
        <v>1022</v>
      </c>
      <c r="H969" t="s">
        <v>1023</v>
      </c>
      <c r="I969" t="s">
        <v>1023</v>
      </c>
      <c r="J969" t="s">
        <v>1022</v>
      </c>
      <c r="K969" t="s">
        <v>1025</v>
      </c>
      <c r="L969">
        <v>14</v>
      </c>
      <c r="M969">
        <v>16</v>
      </c>
      <c r="N969">
        <v>5950000</v>
      </c>
      <c r="O969">
        <f>PropertyData[[#This Row],[Price]]/PropertyData[[#This Row],[Area_sqft]]</f>
        <v>5303.030303030303</v>
      </c>
      <c r="P969" t="str">
        <f t="shared" si="15"/>
        <v>Mid-Range</v>
      </c>
    </row>
    <row r="970" spans="1:16">
      <c r="A970" t="s">
        <v>982</v>
      </c>
      <c r="B970" t="s">
        <v>1014</v>
      </c>
      <c r="C970">
        <v>1428</v>
      </c>
      <c r="D970">
        <v>3</v>
      </c>
      <c r="E970">
        <v>4</v>
      </c>
      <c r="F970">
        <v>12</v>
      </c>
      <c r="G970" t="s">
        <v>1022</v>
      </c>
      <c r="H970" t="s">
        <v>1023</v>
      </c>
      <c r="I970" t="s">
        <v>1023</v>
      </c>
      <c r="J970" t="s">
        <v>1022</v>
      </c>
      <c r="K970" t="s">
        <v>1024</v>
      </c>
      <c r="L970">
        <v>8</v>
      </c>
      <c r="M970">
        <v>18</v>
      </c>
      <c r="N970">
        <v>11400000</v>
      </c>
      <c r="O970">
        <f>PropertyData[[#This Row],[Price]]/PropertyData[[#This Row],[Area_sqft]]</f>
        <v>7983.1932773109247</v>
      </c>
      <c r="P970" t="str">
        <f t="shared" si="15"/>
        <v>Premium</v>
      </c>
    </row>
    <row r="971" spans="1:16">
      <c r="A971" t="s">
        <v>983</v>
      </c>
      <c r="B971" t="s">
        <v>1018</v>
      </c>
      <c r="C971">
        <v>2341</v>
      </c>
      <c r="D971">
        <v>5</v>
      </c>
      <c r="E971">
        <v>4</v>
      </c>
      <c r="F971">
        <v>3</v>
      </c>
      <c r="G971" t="s">
        <v>1022</v>
      </c>
      <c r="H971" t="s">
        <v>1022</v>
      </c>
      <c r="I971" t="s">
        <v>1023</v>
      </c>
      <c r="J971" t="s">
        <v>1022</v>
      </c>
      <c r="K971" t="s">
        <v>1025</v>
      </c>
      <c r="L971">
        <v>4</v>
      </c>
      <c r="M971">
        <v>10</v>
      </c>
      <c r="N971">
        <v>12700000</v>
      </c>
      <c r="O971">
        <f>PropertyData[[#This Row],[Price]]/PropertyData[[#This Row],[Area_sqft]]</f>
        <v>5425.0320375907731</v>
      </c>
      <c r="P971" t="str">
        <f t="shared" si="15"/>
        <v>Premium</v>
      </c>
    </row>
    <row r="972" spans="1:16">
      <c r="A972" t="s">
        <v>984</v>
      </c>
      <c r="B972" t="s">
        <v>1019</v>
      </c>
      <c r="C972">
        <v>1409</v>
      </c>
      <c r="D972">
        <v>3</v>
      </c>
      <c r="E972">
        <v>3</v>
      </c>
      <c r="F972">
        <v>18</v>
      </c>
      <c r="G972" t="s">
        <v>1022</v>
      </c>
      <c r="H972" t="s">
        <v>1023</v>
      </c>
      <c r="I972" t="s">
        <v>1023</v>
      </c>
      <c r="J972" t="s">
        <v>1022</v>
      </c>
      <c r="K972" t="s">
        <v>1025</v>
      </c>
      <c r="L972">
        <v>9</v>
      </c>
      <c r="M972">
        <v>21</v>
      </c>
      <c r="N972">
        <v>7950000</v>
      </c>
      <c r="O972">
        <f>PropertyData[[#This Row],[Price]]/PropertyData[[#This Row],[Area_sqft]]</f>
        <v>5642.2995031937544</v>
      </c>
      <c r="P972" t="str">
        <f t="shared" si="15"/>
        <v>Mid-Range</v>
      </c>
    </row>
    <row r="973" spans="1:16">
      <c r="A973" t="s">
        <v>985</v>
      </c>
      <c r="B973" t="s">
        <v>1016</v>
      </c>
      <c r="C973">
        <v>1393</v>
      </c>
      <c r="D973">
        <v>3</v>
      </c>
      <c r="E973">
        <v>4</v>
      </c>
      <c r="F973">
        <v>7</v>
      </c>
      <c r="G973" t="s">
        <v>1022</v>
      </c>
      <c r="H973" t="s">
        <v>1022</v>
      </c>
      <c r="I973" t="s">
        <v>1023</v>
      </c>
      <c r="J973" t="s">
        <v>1022</v>
      </c>
      <c r="K973" t="s">
        <v>1024</v>
      </c>
      <c r="L973">
        <v>6</v>
      </c>
      <c r="M973">
        <v>9</v>
      </c>
      <c r="N973">
        <v>7850000</v>
      </c>
      <c r="O973">
        <f>PropertyData[[#This Row],[Price]]/PropertyData[[#This Row],[Area_sqft]]</f>
        <v>5635.3194544149319</v>
      </c>
      <c r="P973" t="str">
        <f t="shared" si="15"/>
        <v>Mid-Range</v>
      </c>
    </row>
    <row r="974" spans="1:16">
      <c r="A974" t="s">
        <v>986</v>
      </c>
      <c r="B974" t="s">
        <v>1021</v>
      </c>
      <c r="C974">
        <v>818</v>
      </c>
      <c r="D974">
        <v>1</v>
      </c>
      <c r="E974">
        <v>1</v>
      </c>
      <c r="F974">
        <v>13</v>
      </c>
      <c r="G974" t="s">
        <v>1022</v>
      </c>
      <c r="H974" t="s">
        <v>1022</v>
      </c>
      <c r="I974" t="s">
        <v>1022</v>
      </c>
      <c r="J974" t="s">
        <v>1022</v>
      </c>
      <c r="K974" t="s">
        <v>1025</v>
      </c>
      <c r="L974">
        <v>3</v>
      </c>
      <c r="M974">
        <v>5</v>
      </c>
      <c r="N974">
        <v>5200000</v>
      </c>
      <c r="O974">
        <f>PropertyData[[#This Row],[Price]]/PropertyData[[#This Row],[Area_sqft]]</f>
        <v>6356.9682151589241</v>
      </c>
      <c r="P974" t="str">
        <f t="shared" si="15"/>
        <v>Mid-Range</v>
      </c>
    </row>
    <row r="975" spans="1:16">
      <c r="A975" t="s">
        <v>987</v>
      </c>
      <c r="B975" t="s">
        <v>1019</v>
      </c>
      <c r="C975">
        <v>1741</v>
      </c>
      <c r="D975">
        <v>4</v>
      </c>
      <c r="E975">
        <v>4</v>
      </c>
      <c r="F975">
        <v>25</v>
      </c>
      <c r="G975" t="s">
        <v>1022</v>
      </c>
      <c r="H975" t="s">
        <v>1023</v>
      </c>
      <c r="I975" t="s">
        <v>1023</v>
      </c>
      <c r="J975" t="s">
        <v>1022</v>
      </c>
      <c r="K975" t="s">
        <v>1024</v>
      </c>
      <c r="L975">
        <v>15</v>
      </c>
      <c r="M975">
        <v>18</v>
      </c>
      <c r="N975">
        <v>11050000</v>
      </c>
      <c r="O975">
        <f>PropertyData[[#This Row],[Price]]/PropertyData[[#This Row],[Area_sqft]]</f>
        <v>6346.9270534175757</v>
      </c>
      <c r="P975" t="str">
        <f t="shared" si="15"/>
        <v>Premium</v>
      </c>
    </row>
    <row r="976" spans="1:16">
      <c r="A976" t="s">
        <v>988</v>
      </c>
      <c r="B976" t="s">
        <v>1015</v>
      </c>
      <c r="C976">
        <v>1336</v>
      </c>
      <c r="D976">
        <v>3</v>
      </c>
      <c r="E976">
        <v>4</v>
      </c>
      <c r="F976">
        <v>14</v>
      </c>
      <c r="G976" t="s">
        <v>1022</v>
      </c>
      <c r="H976" t="s">
        <v>1023</v>
      </c>
      <c r="I976" t="s">
        <v>1023</v>
      </c>
      <c r="J976" t="s">
        <v>1022</v>
      </c>
      <c r="K976" t="s">
        <v>1025</v>
      </c>
      <c r="L976">
        <v>17</v>
      </c>
      <c r="M976">
        <v>22</v>
      </c>
      <c r="N976">
        <v>4350000</v>
      </c>
      <c r="O976">
        <f>PropertyData[[#This Row],[Price]]/PropertyData[[#This Row],[Area_sqft]]</f>
        <v>3255.9880239520958</v>
      </c>
      <c r="P976" t="str">
        <f t="shared" si="15"/>
        <v>Budget</v>
      </c>
    </row>
    <row r="977" spans="1:16">
      <c r="A977" t="s">
        <v>989</v>
      </c>
      <c r="B977" t="s">
        <v>1014</v>
      </c>
      <c r="C977">
        <v>1976</v>
      </c>
      <c r="D977">
        <v>4</v>
      </c>
      <c r="E977">
        <v>3</v>
      </c>
      <c r="F977">
        <v>4</v>
      </c>
      <c r="G977" t="s">
        <v>1023</v>
      </c>
      <c r="H977" t="s">
        <v>1022</v>
      </c>
      <c r="I977" t="s">
        <v>1022</v>
      </c>
      <c r="J977" t="s">
        <v>1023</v>
      </c>
      <c r="K977" t="s">
        <v>1025</v>
      </c>
      <c r="L977">
        <v>10</v>
      </c>
      <c r="M977">
        <v>14</v>
      </c>
      <c r="N977">
        <v>14200000</v>
      </c>
      <c r="O977">
        <f>PropertyData[[#This Row],[Price]]/PropertyData[[#This Row],[Area_sqft]]</f>
        <v>7186.2348178137654</v>
      </c>
      <c r="P977" t="str">
        <f t="shared" si="15"/>
        <v>Premium</v>
      </c>
    </row>
    <row r="978" spans="1:16">
      <c r="A978" t="s">
        <v>990</v>
      </c>
      <c r="B978" t="s">
        <v>1015</v>
      </c>
      <c r="C978">
        <v>607</v>
      </c>
      <c r="D978">
        <v>1</v>
      </c>
      <c r="E978">
        <v>1</v>
      </c>
      <c r="F978">
        <v>0</v>
      </c>
      <c r="G978" t="s">
        <v>1022</v>
      </c>
      <c r="H978" t="s">
        <v>1022</v>
      </c>
      <c r="I978" t="s">
        <v>1022</v>
      </c>
      <c r="J978" t="s">
        <v>1022</v>
      </c>
      <c r="K978" t="s">
        <v>1026</v>
      </c>
      <c r="L978">
        <v>13</v>
      </c>
      <c r="M978">
        <v>22</v>
      </c>
      <c r="N978">
        <v>3850000</v>
      </c>
      <c r="O978">
        <f>PropertyData[[#This Row],[Price]]/PropertyData[[#This Row],[Area_sqft]]</f>
        <v>6342.6688632619444</v>
      </c>
      <c r="P978" t="str">
        <f t="shared" si="15"/>
        <v>Budget</v>
      </c>
    </row>
    <row r="979" spans="1:16">
      <c r="A979" t="s">
        <v>991</v>
      </c>
      <c r="B979" t="s">
        <v>1014</v>
      </c>
      <c r="C979">
        <v>1480</v>
      </c>
      <c r="D979">
        <v>3</v>
      </c>
      <c r="E979">
        <v>3</v>
      </c>
      <c r="F979">
        <v>9</v>
      </c>
      <c r="G979" t="s">
        <v>1022</v>
      </c>
      <c r="H979" t="s">
        <v>1022</v>
      </c>
      <c r="I979" t="s">
        <v>1023</v>
      </c>
      <c r="J979" t="s">
        <v>1022</v>
      </c>
      <c r="K979" t="s">
        <v>1025</v>
      </c>
      <c r="L979">
        <v>12</v>
      </c>
      <c r="M979">
        <v>20</v>
      </c>
      <c r="N979">
        <v>10450000</v>
      </c>
      <c r="O979">
        <f>PropertyData[[#This Row],[Price]]/PropertyData[[#This Row],[Area_sqft]]</f>
        <v>7060.8108108108108</v>
      </c>
      <c r="P979" t="str">
        <f t="shared" si="15"/>
        <v>Premium</v>
      </c>
    </row>
    <row r="980" spans="1:16">
      <c r="A980" t="s">
        <v>992</v>
      </c>
      <c r="B980" t="s">
        <v>1015</v>
      </c>
      <c r="C980">
        <v>2049</v>
      </c>
      <c r="D980">
        <v>4</v>
      </c>
      <c r="E980">
        <v>3</v>
      </c>
      <c r="F980">
        <v>23</v>
      </c>
      <c r="G980" t="s">
        <v>1022</v>
      </c>
      <c r="H980" t="s">
        <v>1022</v>
      </c>
      <c r="I980" t="s">
        <v>1023</v>
      </c>
      <c r="J980" t="s">
        <v>1022</v>
      </c>
      <c r="K980" t="s">
        <v>1024</v>
      </c>
      <c r="L980">
        <v>18</v>
      </c>
      <c r="M980">
        <v>20</v>
      </c>
      <c r="N980">
        <v>7050000</v>
      </c>
      <c r="O980">
        <f>PropertyData[[#This Row],[Price]]/PropertyData[[#This Row],[Area_sqft]]</f>
        <v>3440.7027818448023</v>
      </c>
      <c r="P980" t="str">
        <f t="shared" si="15"/>
        <v>Mid-Range</v>
      </c>
    </row>
    <row r="981" spans="1:16">
      <c r="A981" t="s">
        <v>993</v>
      </c>
      <c r="B981" t="s">
        <v>1020</v>
      </c>
      <c r="C981">
        <v>1276</v>
      </c>
      <c r="D981">
        <v>3</v>
      </c>
      <c r="E981">
        <v>3</v>
      </c>
      <c r="F981">
        <v>28</v>
      </c>
      <c r="G981" t="s">
        <v>1023</v>
      </c>
      <c r="H981" t="s">
        <v>1023</v>
      </c>
      <c r="I981" t="s">
        <v>1023</v>
      </c>
      <c r="J981" t="s">
        <v>1022</v>
      </c>
      <c r="K981" t="s">
        <v>1025</v>
      </c>
      <c r="L981">
        <v>12</v>
      </c>
      <c r="M981">
        <v>16</v>
      </c>
      <c r="N981">
        <v>7400000</v>
      </c>
      <c r="O981">
        <f>PropertyData[[#This Row],[Price]]/PropertyData[[#This Row],[Area_sqft]]</f>
        <v>5799.3730407523508</v>
      </c>
      <c r="P981" t="str">
        <f t="shared" si="15"/>
        <v>Mid-Range</v>
      </c>
    </row>
    <row r="982" spans="1:16">
      <c r="A982" t="s">
        <v>994</v>
      </c>
      <c r="B982" t="s">
        <v>1016</v>
      </c>
      <c r="C982">
        <v>1337</v>
      </c>
      <c r="D982">
        <v>3</v>
      </c>
      <c r="E982">
        <v>4</v>
      </c>
      <c r="F982">
        <v>3</v>
      </c>
      <c r="G982" t="s">
        <v>1023</v>
      </c>
      <c r="H982" t="s">
        <v>1023</v>
      </c>
      <c r="I982" t="s">
        <v>1022</v>
      </c>
      <c r="J982" t="s">
        <v>1022</v>
      </c>
      <c r="K982" t="s">
        <v>1024</v>
      </c>
      <c r="L982">
        <v>9</v>
      </c>
      <c r="M982">
        <v>19</v>
      </c>
      <c r="N982">
        <v>7350000</v>
      </c>
      <c r="O982">
        <f>PropertyData[[#This Row],[Price]]/PropertyData[[#This Row],[Area_sqft]]</f>
        <v>5497.3821989528797</v>
      </c>
      <c r="P982" t="str">
        <f t="shared" si="15"/>
        <v>Mid-Range</v>
      </c>
    </row>
    <row r="983" spans="1:16">
      <c r="A983" t="s">
        <v>995</v>
      </c>
      <c r="B983" t="s">
        <v>1020</v>
      </c>
      <c r="C983">
        <v>923</v>
      </c>
      <c r="D983">
        <v>2</v>
      </c>
      <c r="E983">
        <v>2</v>
      </c>
      <c r="F983">
        <v>16</v>
      </c>
      <c r="G983" t="s">
        <v>1022</v>
      </c>
      <c r="H983" t="s">
        <v>1022</v>
      </c>
      <c r="I983" t="s">
        <v>1022</v>
      </c>
      <c r="J983" t="s">
        <v>1023</v>
      </c>
      <c r="K983" t="s">
        <v>1026</v>
      </c>
      <c r="L983">
        <v>9</v>
      </c>
      <c r="M983">
        <v>22</v>
      </c>
      <c r="N983">
        <v>7500000</v>
      </c>
      <c r="O983">
        <f>PropertyData[[#This Row],[Price]]/PropertyData[[#This Row],[Area_sqft]]</f>
        <v>8125.6771397616467</v>
      </c>
      <c r="P983" t="str">
        <f t="shared" si="15"/>
        <v>Mid-Range</v>
      </c>
    </row>
    <row r="984" spans="1:16">
      <c r="A984" t="s">
        <v>996</v>
      </c>
      <c r="B984" t="s">
        <v>1016</v>
      </c>
      <c r="C984">
        <v>1683</v>
      </c>
      <c r="D984">
        <v>4</v>
      </c>
      <c r="E984">
        <v>4</v>
      </c>
      <c r="F984">
        <v>29</v>
      </c>
      <c r="G984" t="s">
        <v>1022</v>
      </c>
      <c r="H984" t="s">
        <v>1022</v>
      </c>
      <c r="I984" t="s">
        <v>1023</v>
      </c>
      <c r="J984" t="s">
        <v>1022</v>
      </c>
      <c r="K984" t="s">
        <v>1025</v>
      </c>
      <c r="L984">
        <v>20</v>
      </c>
      <c r="M984">
        <v>20</v>
      </c>
      <c r="N984">
        <v>6850000</v>
      </c>
      <c r="O984">
        <f>PropertyData[[#This Row],[Price]]/PropertyData[[#This Row],[Area_sqft]]</f>
        <v>4070.1128936423056</v>
      </c>
      <c r="P984" t="str">
        <f t="shared" si="15"/>
        <v>Mid-Range</v>
      </c>
    </row>
    <row r="985" spans="1:16">
      <c r="A985" t="s">
        <v>997</v>
      </c>
      <c r="B985" t="s">
        <v>1014</v>
      </c>
      <c r="C985">
        <v>1075</v>
      </c>
      <c r="D985">
        <v>3</v>
      </c>
      <c r="E985">
        <v>3</v>
      </c>
      <c r="F985">
        <v>6</v>
      </c>
      <c r="G985" t="s">
        <v>1022</v>
      </c>
      <c r="H985" t="s">
        <v>1022</v>
      </c>
      <c r="I985" t="s">
        <v>1022</v>
      </c>
      <c r="J985" t="s">
        <v>1022</v>
      </c>
      <c r="K985" t="s">
        <v>1025</v>
      </c>
      <c r="L985">
        <v>4</v>
      </c>
      <c r="M985">
        <v>21</v>
      </c>
      <c r="N985">
        <v>10000000</v>
      </c>
      <c r="O985">
        <f>PropertyData[[#This Row],[Price]]/PropertyData[[#This Row],[Area_sqft]]</f>
        <v>9302.3255813953492</v>
      </c>
      <c r="P985" t="str">
        <f t="shared" si="15"/>
        <v>Mid-Range</v>
      </c>
    </row>
    <row r="986" spans="1:16">
      <c r="A986" t="s">
        <v>998</v>
      </c>
      <c r="B986" t="s">
        <v>1018</v>
      </c>
      <c r="C986">
        <v>1354</v>
      </c>
      <c r="D986">
        <v>3</v>
      </c>
      <c r="E986">
        <v>3</v>
      </c>
      <c r="F986">
        <v>1</v>
      </c>
      <c r="G986" t="s">
        <v>1022</v>
      </c>
      <c r="H986" t="s">
        <v>1022</v>
      </c>
      <c r="I986" t="s">
        <v>1023</v>
      </c>
      <c r="J986" t="s">
        <v>1022</v>
      </c>
      <c r="K986" t="s">
        <v>1025</v>
      </c>
      <c r="L986">
        <v>2</v>
      </c>
      <c r="M986">
        <v>22</v>
      </c>
      <c r="N986">
        <v>7450000</v>
      </c>
      <c r="O986">
        <f>PropertyData[[#This Row],[Price]]/PropertyData[[#This Row],[Area_sqft]]</f>
        <v>5502.215657311669</v>
      </c>
      <c r="P986" t="str">
        <f t="shared" si="15"/>
        <v>Mid-Range</v>
      </c>
    </row>
    <row r="987" spans="1:16">
      <c r="A987" t="s">
        <v>999</v>
      </c>
      <c r="B987" t="s">
        <v>1017</v>
      </c>
      <c r="C987">
        <v>1046</v>
      </c>
      <c r="D987">
        <v>2</v>
      </c>
      <c r="E987">
        <v>2</v>
      </c>
      <c r="F987">
        <v>9</v>
      </c>
      <c r="G987" t="s">
        <v>1022</v>
      </c>
      <c r="H987" t="s">
        <v>1023</v>
      </c>
      <c r="I987" t="s">
        <v>1022</v>
      </c>
      <c r="J987" t="s">
        <v>1023</v>
      </c>
      <c r="K987" t="s">
        <v>1024</v>
      </c>
      <c r="L987">
        <v>10</v>
      </c>
      <c r="M987">
        <v>10</v>
      </c>
      <c r="N987">
        <v>5000000</v>
      </c>
      <c r="O987">
        <f>PropertyData[[#This Row],[Price]]/PropertyData[[#This Row],[Area_sqft]]</f>
        <v>4780.1147227533456</v>
      </c>
      <c r="P987" t="str">
        <f t="shared" si="15"/>
        <v>Mid-Range</v>
      </c>
    </row>
    <row r="988" spans="1:16">
      <c r="A988" t="s">
        <v>1000</v>
      </c>
      <c r="B988" t="s">
        <v>1015</v>
      </c>
      <c r="C988">
        <v>1454</v>
      </c>
      <c r="D988">
        <v>3</v>
      </c>
      <c r="E988">
        <v>4</v>
      </c>
      <c r="F988">
        <v>18</v>
      </c>
      <c r="G988" t="s">
        <v>1022</v>
      </c>
      <c r="H988" t="s">
        <v>1023</v>
      </c>
      <c r="I988" t="s">
        <v>1023</v>
      </c>
      <c r="J988" t="s">
        <v>1022</v>
      </c>
      <c r="K988" t="s">
        <v>1025</v>
      </c>
      <c r="L988">
        <v>19</v>
      </c>
      <c r="M988">
        <v>19</v>
      </c>
      <c r="N988">
        <v>4600000</v>
      </c>
      <c r="O988">
        <f>PropertyData[[#This Row],[Price]]/PropertyData[[#This Row],[Area_sqft]]</f>
        <v>3163.6863823933977</v>
      </c>
      <c r="P988" t="str">
        <f t="shared" si="15"/>
        <v>Budget</v>
      </c>
    </row>
    <row r="989" spans="1:16">
      <c r="A989" t="s">
        <v>1001</v>
      </c>
      <c r="B989" t="s">
        <v>1020</v>
      </c>
      <c r="C989">
        <v>2427</v>
      </c>
      <c r="D989">
        <v>5</v>
      </c>
      <c r="E989">
        <v>4</v>
      </c>
      <c r="F989">
        <v>0</v>
      </c>
      <c r="G989" t="s">
        <v>1022</v>
      </c>
      <c r="H989" t="s">
        <v>1022</v>
      </c>
      <c r="I989" t="s">
        <v>1023</v>
      </c>
      <c r="J989" t="s">
        <v>1023</v>
      </c>
      <c r="K989" t="s">
        <v>1025</v>
      </c>
      <c r="L989">
        <v>6</v>
      </c>
      <c r="M989">
        <v>7</v>
      </c>
      <c r="N989">
        <v>16550000</v>
      </c>
      <c r="O989">
        <f>PropertyData[[#This Row],[Price]]/PropertyData[[#This Row],[Area_sqft]]</f>
        <v>6819.1182529872267</v>
      </c>
      <c r="P989" t="str">
        <f t="shared" si="15"/>
        <v>Premium</v>
      </c>
    </row>
    <row r="990" spans="1:16">
      <c r="A990" t="s">
        <v>1002</v>
      </c>
      <c r="B990" t="s">
        <v>1020</v>
      </c>
      <c r="C990">
        <v>517</v>
      </c>
      <c r="D990">
        <v>1</v>
      </c>
      <c r="E990">
        <v>1</v>
      </c>
      <c r="F990">
        <v>6</v>
      </c>
      <c r="G990" t="s">
        <v>1022</v>
      </c>
      <c r="H990" t="s">
        <v>1023</v>
      </c>
      <c r="I990" t="s">
        <v>1023</v>
      </c>
      <c r="J990" t="s">
        <v>1023</v>
      </c>
      <c r="K990" t="s">
        <v>1025</v>
      </c>
      <c r="L990">
        <v>17</v>
      </c>
      <c r="M990">
        <v>19</v>
      </c>
      <c r="N990">
        <v>3450000</v>
      </c>
      <c r="O990">
        <f>PropertyData[[#This Row],[Price]]/PropertyData[[#This Row],[Area_sqft]]</f>
        <v>6673.1141199226304</v>
      </c>
      <c r="P990" t="str">
        <f t="shared" si="15"/>
        <v>Budget</v>
      </c>
    </row>
    <row r="991" spans="1:16">
      <c r="A991" t="s">
        <v>1003</v>
      </c>
      <c r="B991" t="s">
        <v>1017</v>
      </c>
      <c r="C991">
        <v>2016</v>
      </c>
      <c r="D991">
        <v>5</v>
      </c>
      <c r="E991">
        <v>5</v>
      </c>
      <c r="F991">
        <v>15</v>
      </c>
      <c r="G991" t="s">
        <v>1022</v>
      </c>
      <c r="H991" t="s">
        <v>1022</v>
      </c>
      <c r="I991" t="s">
        <v>1022</v>
      </c>
      <c r="J991" t="s">
        <v>1022</v>
      </c>
      <c r="K991" t="s">
        <v>1024</v>
      </c>
      <c r="L991">
        <v>17</v>
      </c>
      <c r="M991">
        <v>20</v>
      </c>
      <c r="N991">
        <v>8950000</v>
      </c>
      <c r="O991">
        <f>PropertyData[[#This Row],[Price]]/PropertyData[[#This Row],[Area_sqft]]</f>
        <v>4439.4841269841272</v>
      </c>
      <c r="P991" t="str">
        <f t="shared" si="15"/>
        <v>Mid-Range</v>
      </c>
    </row>
    <row r="992" spans="1:16">
      <c r="A992" t="s">
        <v>1004</v>
      </c>
      <c r="B992" t="s">
        <v>1018</v>
      </c>
      <c r="C992">
        <v>1389</v>
      </c>
      <c r="D992">
        <v>3</v>
      </c>
      <c r="E992">
        <v>3</v>
      </c>
      <c r="F992">
        <v>29</v>
      </c>
      <c r="G992" t="s">
        <v>1022</v>
      </c>
      <c r="H992" t="s">
        <v>1023</v>
      </c>
      <c r="I992" t="s">
        <v>1022</v>
      </c>
      <c r="J992" t="s">
        <v>1023</v>
      </c>
      <c r="K992" t="s">
        <v>1024</v>
      </c>
      <c r="L992">
        <v>7</v>
      </c>
      <c r="M992">
        <v>9</v>
      </c>
      <c r="N992">
        <v>7350000</v>
      </c>
      <c r="O992">
        <f>PropertyData[[#This Row],[Price]]/PropertyData[[#This Row],[Area_sqft]]</f>
        <v>5291.5766738660905</v>
      </c>
      <c r="P992" t="str">
        <f t="shared" si="15"/>
        <v>Mid-Range</v>
      </c>
    </row>
    <row r="993" spans="1:16">
      <c r="A993" t="s">
        <v>1005</v>
      </c>
      <c r="B993" t="s">
        <v>1020</v>
      </c>
      <c r="C993">
        <v>921</v>
      </c>
      <c r="D993">
        <v>2</v>
      </c>
      <c r="E993">
        <v>2</v>
      </c>
      <c r="F993">
        <v>7</v>
      </c>
      <c r="G993" t="s">
        <v>1022</v>
      </c>
      <c r="H993" t="s">
        <v>1023</v>
      </c>
      <c r="I993" t="s">
        <v>1023</v>
      </c>
      <c r="J993" t="s">
        <v>1022</v>
      </c>
      <c r="K993" t="s">
        <v>1024</v>
      </c>
      <c r="L993">
        <v>19</v>
      </c>
      <c r="M993">
        <v>21</v>
      </c>
      <c r="N993">
        <v>7250000</v>
      </c>
      <c r="O993">
        <f>PropertyData[[#This Row],[Price]]/PropertyData[[#This Row],[Area_sqft]]</f>
        <v>7871.8783930510317</v>
      </c>
      <c r="P993" t="str">
        <f t="shared" si="15"/>
        <v>Mid-Range</v>
      </c>
    </row>
    <row r="994" spans="1:16">
      <c r="A994" t="s">
        <v>1006</v>
      </c>
      <c r="B994" t="s">
        <v>1017</v>
      </c>
      <c r="C994">
        <v>1536</v>
      </c>
      <c r="D994">
        <v>3</v>
      </c>
      <c r="E994">
        <v>3</v>
      </c>
      <c r="F994">
        <v>11</v>
      </c>
      <c r="G994" t="s">
        <v>1022</v>
      </c>
      <c r="H994" t="s">
        <v>1022</v>
      </c>
      <c r="I994" t="s">
        <v>1023</v>
      </c>
      <c r="J994" t="s">
        <v>1022</v>
      </c>
      <c r="K994" t="s">
        <v>1024</v>
      </c>
      <c r="L994">
        <v>20</v>
      </c>
      <c r="M994">
        <v>23</v>
      </c>
      <c r="N994">
        <v>6150000</v>
      </c>
      <c r="O994">
        <f>PropertyData[[#This Row],[Price]]/PropertyData[[#This Row],[Area_sqft]]</f>
        <v>4003.90625</v>
      </c>
      <c r="P994" t="str">
        <f t="shared" si="15"/>
        <v>Mid-Range</v>
      </c>
    </row>
    <row r="995" spans="1:16">
      <c r="A995" t="s">
        <v>1007</v>
      </c>
      <c r="B995" t="s">
        <v>1017</v>
      </c>
      <c r="C995">
        <v>1293</v>
      </c>
      <c r="D995">
        <v>3</v>
      </c>
      <c r="E995">
        <v>3</v>
      </c>
      <c r="F995">
        <v>7</v>
      </c>
      <c r="G995" t="s">
        <v>1023</v>
      </c>
      <c r="H995" t="s">
        <v>1022</v>
      </c>
      <c r="I995" t="s">
        <v>1022</v>
      </c>
      <c r="J995" t="s">
        <v>1022</v>
      </c>
      <c r="K995" t="s">
        <v>1026</v>
      </c>
      <c r="L995">
        <v>18</v>
      </c>
      <c r="M995">
        <v>23</v>
      </c>
      <c r="N995">
        <v>7400000</v>
      </c>
      <c r="O995">
        <f>PropertyData[[#This Row],[Price]]/PropertyData[[#This Row],[Area_sqft]]</f>
        <v>5723.1245166279969</v>
      </c>
      <c r="P995" t="str">
        <f t="shared" si="15"/>
        <v>Mid-Range</v>
      </c>
    </row>
    <row r="996" spans="1:16">
      <c r="A996" t="s">
        <v>1008</v>
      </c>
      <c r="B996" t="s">
        <v>1019</v>
      </c>
      <c r="C996">
        <v>1809</v>
      </c>
      <c r="D996">
        <v>4</v>
      </c>
      <c r="E996">
        <v>4</v>
      </c>
      <c r="F996">
        <v>13</v>
      </c>
      <c r="G996" t="s">
        <v>1022</v>
      </c>
      <c r="H996" t="s">
        <v>1022</v>
      </c>
      <c r="I996" t="s">
        <v>1022</v>
      </c>
      <c r="J996" t="s">
        <v>1022</v>
      </c>
      <c r="K996" t="s">
        <v>1026</v>
      </c>
      <c r="L996">
        <v>6</v>
      </c>
      <c r="M996">
        <v>20</v>
      </c>
      <c r="N996">
        <v>21500000</v>
      </c>
      <c r="O996">
        <f>PropertyData[[#This Row],[Price]]/PropertyData[[#This Row],[Area_sqft]]</f>
        <v>11885.019347705915</v>
      </c>
      <c r="P996" t="str">
        <f t="shared" si="15"/>
        <v>Premium</v>
      </c>
    </row>
    <row r="997" spans="1:16">
      <c r="A997" t="s">
        <v>1009</v>
      </c>
      <c r="B997" t="s">
        <v>1014</v>
      </c>
      <c r="C997">
        <v>1159</v>
      </c>
      <c r="D997">
        <v>2</v>
      </c>
      <c r="E997">
        <v>2</v>
      </c>
      <c r="F997">
        <v>12</v>
      </c>
      <c r="G997" t="s">
        <v>1023</v>
      </c>
      <c r="H997" t="s">
        <v>1023</v>
      </c>
      <c r="I997" t="s">
        <v>1022</v>
      </c>
      <c r="J997" t="s">
        <v>1022</v>
      </c>
      <c r="K997" t="s">
        <v>1025</v>
      </c>
      <c r="L997">
        <v>11</v>
      </c>
      <c r="M997">
        <v>16</v>
      </c>
      <c r="N997">
        <v>7750000</v>
      </c>
      <c r="O997">
        <f>PropertyData[[#This Row],[Price]]/PropertyData[[#This Row],[Area_sqft]]</f>
        <v>6686.798964624676</v>
      </c>
      <c r="P997" t="str">
        <f t="shared" si="15"/>
        <v>Mid-Range</v>
      </c>
    </row>
    <row r="998" spans="1:16">
      <c r="A998" t="s">
        <v>1010</v>
      </c>
      <c r="B998" t="s">
        <v>1015</v>
      </c>
      <c r="C998">
        <v>1716</v>
      </c>
      <c r="D998">
        <v>4</v>
      </c>
      <c r="E998">
        <v>3</v>
      </c>
      <c r="F998">
        <v>0</v>
      </c>
      <c r="G998" t="s">
        <v>1023</v>
      </c>
      <c r="H998" t="s">
        <v>1022</v>
      </c>
      <c r="I998" t="s">
        <v>1022</v>
      </c>
      <c r="J998" t="s">
        <v>1022</v>
      </c>
      <c r="K998" t="s">
        <v>1024</v>
      </c>
      <c r="L998">
        <v>2</v>
      </c>
      <c r="M998">
        <v>22</v>
      </c>
      <c r="N998">
        <v>9050000</v>
      </c>
      <c r="O998">
        <f>PropertyData[[#This Row],[Price]]/PropertyData[[#This Row],[Area_sqft]]</f>
        <v>5273.8927738927741</v>
      </c>
      <c r="P998" t="str">
        <f t="shared" si="15"/>
        <v>Mid-Range</v>
      </c>
    </row>
    <row r="999" spans="1:16">
      <c r="A999" t="s">
        <v>1011</v>
      </c>
      <c r="B999" t="s">
        <v>1015</v>
      </c>
      <c r="C999">
        <v>1549</v>
      </c>
      <c r="D999">
        <v>3</v>
      </c>
      <c r="E999">
        <v>2</v>
      </c>
      <c r="F999">
        <v>24</v>
      </c>
      <c r="G999" t="s">
        <v>1022</v>
      </c>
      <c r="H999" t="s">
        <v>1022</v>
      </c>
      <c r="I999" t="s">
        <v>1023</v>
      </c>
      <c r="J999" t="s">
        <v>1022</v>
      </c>
      <c r="K999" t="s">
        <v>1024</v>
      </c>
      <c r="L999">
        <v>2</v>
      </c>
      <c r="M999">
        <v>18</v>
      </c>
      <c r="N999">
        <v>4800000</v>
      </c>
      <c r="O999">
        <f>PropertyData[[#This Row],[Price]]/PropertyData[[#This Row],[Area_sqft]]</f>
        <v>3098.7734021949645</v>
      </c>
      <c r="P999" t="str">
        <f t="shared" si="15"/>
        <v>Budget</v>
      </c>
    </row>
    <row r="1000" spans="1:16">
      <c r="A1000" t="s">
        <v>1012</v>
      </c>
      <c r="B1000" t="s">
        <v>1016</v>
      </c>
      <c r="C1000">
        <v>863</v>
      </c>
      <c r="D1000">
        <v>2</v>
      </c>
      <c r="E1000">
        <v>3</v>
      </c>
      <c r="F1000">
        <v>8</v>
      </c>
      <c r="G1000" t="s">
        <v>1022</v>
      </c>
      <c r="H1000" t="s">
        <v>1022</v>
      </c>
      <c r="I1000" t="s">
        <v>1023</v>
      </c>
      <c r="J1000" t="s">
        <v>1022</v>
      </c>
      <c r="K1000" t="s">
        <v>1025</v>
      </c>
      <c r="L1000">
        <v>2</v>
      </c>
      <c r="M1000">
        <v>22</v>
      </c>
      <c r="N1000">
        <v>4150000</v>
      </c>
      <c r="O1000">
        <f>PropertyData[[#This Row],[Price]]/PropertyData[[#This Row],[Area_sqft]]</f>
        <v>4808.8064889918887</v>
      </c>
      <c r="P1000" t="str">
        <f t="shared" si="15"/>
        <v>Budget</v>
      </c>
    </row>
    <row r="1001" spans="1:16">
      <c r="A1001" t="s">
        <v>1013</v>
      </c>
      <c r="B1001" t="s">
        <v>1018</v>
      </c>
      <c r="C1001">
        <v>823</v>
      </c>
      <c r="D1001">
        <v>2</v>
      </c>
      <c r="E1001">
        <v>1</v>
      </c>
      <c r="F1001">
        <v>2</v>
      </c>
      <c r="G1001" t="s">
        <v>1022</v>
      </c>
      <c r="H1001" t="s">
        <v>1023</v>
      </c>
      <c r="I1001" t="s">
        <v>1023</v>
      </c>
      <c r="J1001" t="s">
        <v>1022</v>
      </c>
      <c r="K1001" t="s">
        <v>1025</v>
      </c>
      <c r="L1001">
        <v>11</v>
      </c>
      <c r="M1001">
        <v>20</v>
      </c>
      <c r="N1001">
        <v>4000000</v>
      </c>
      <c r="O1001">
        <f>PropertyData[[#This Row],[Price]]/PropertyData[[#This Row],[Area_sqft]]</f>
        <v>4860.2673147023088</v>
      </c>
      <c r="P1001" t="str">
        <f t="shared" si="15"/>
        <v>Budget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A200-A9CC-41BB-A450-222AC1F0D6DB}">
  <dimension ref="A1:B6"/>
  <sheetViews>
    <sheetView workbookViewId="0">
      <selection activeCell="A35" sqref="A35"/>
    </sheetView>
  </sheetViews>
  <sheetFormatPr defaultRowHeight="14.4"/>
  <cols>
    <col min="1" max="1" width="24.109375" customWidth="1"/>
    <col min="2" max="2" width="26" customWidth="1"/>
  </cols>
  <sheetData>
    <row r="1" spans="1:2">
      <c r="A1" s="3" t="s">
        <v>1027</v>
      </c>
      <c r="B1" s="4" t="s">
        <v>1028</v>
      </c>
    </row>
    <row r="2" spans="1:2">
      <c r="A2" s="3" t="s">
        <v>1029</v>
      </c>
      <c r="B2" s="4">
        <f>COUNTA(PropertyData[Property_ID])</f>
        <v>1000</v>
      </c>
    </row>
    <row r="3" spans="1:2">
      <c r="A3" s="3" t="s">
        <v>1030</v>
      </c>
      <c r="B3" s="5">
        <f>AVERAGE(PropertyData[Price])</f>
        <v>7329700</v>
      </c>
    </row>
    <row r="4" spans="1:2">
      <c r="A4" s="3" t="s">
        <v>1031</v>
      </c>
      <c r="B4" s="6">
        <f>MIN(PropertyData[Price])</f>
        <v>1550000</v>
      </c>
    </row>
    <row r="5" spans="1:2">
      <c r="A5" s="3" t="s">
        <v>1032</v>
      </c>
      <c r="B5" s="6">
        <f>MAX(PropertyData[Price])</f>
        <v>21500000</v>
      </c>
    </row>
    <row r="6" spans="1:2">
      <c r="A6" s="3" t="s">
        <v>1033</v>
      </c>
      <c r="B6" s="6">
        <f>MEDIAN(PropertyData[Price])</f>
        <v>6850000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Price property</vt:lpstr>
      <vt:lpstr>Property Type Analysis</vt:lpstr>
      <vt:lpstr>Real Estate Dashboard</vt:lpstr>
      <vt:lpstr>Property Segmentation</vt:lpstr>
      <vt:lpstr>PropertyData</vt:lpstr>
      <vt:lpstr>Price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santhosh R</cp:lastModifiedBy>
  <dcterms:created xsi:type="dcterms:W3CDTF">2026-08-17T09:05:00Z</dcterms:created>
  <dcterms:modified xsi:type="dcterms:W3CDTF">2026-08-18T07:18:32Z</dcterms:modified>
</cp:coreProperties>
</file>